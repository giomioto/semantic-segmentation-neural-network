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iova\Documents\UTFPR\PROJETO FINAL DE PDI\semantic-segmentation-neural-network\"/>
    </mc:Choice>
  </mc:AlternateContent>
  <xr:revisionPtr revIDLastSave="0" documentId="13_ncr:1_{DE5302C1-2A3E-49E5-8741-2F7AE8C53B9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Validado" sheetId="1" r:id="rId1"/>
    <sheet name="Não rodou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98" i="1" l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G197" i="1"/>
</calcChain>
</file>

<file path=xl/sharedStrings.xml><?xml version="1.0" encoding="utf-8"?>
<sst xmlns="http://schemas.openxmlformats.org/spreadsheetml/2006/main" count="1305" uniqueCount="515">
  <si>
    <t>Arquivo</t>
  </si>
  <si>
    <t>Gemini (Real)</t>
  </si>
  <si>
    <t>Seu Modelo (Pred)</t>
  </si>
  <si>
    <t>Em Comum (Acerto)</t>
  </si>
  <si>
    <t>Modelo Errou (Alucinação)</t>
  </si>
  <si>
    <t>Modelo Não Viu (Omissão)</t>
  </si>
  <si>
    <t>Acurácia (%)</t>
  </si>
  <si>
    <t>IMG_20140922_141541933.jpg</t>
  </si>
  <si>
    <t>PureBatata, Arroz, StrogonoffCarne</t>
  </si>
  <si>
    <t>StrogonoffCarne, Arroz, Maionese</t>
  </si>
  <si>
    <t>Arroz, StrogonoffCarne</t>
  </si>
  <si>
    <t>Maionese</t>
  </si>
  <si>
    <t>PureBatata</t>
  </si>
  <si>
    <t>IMG_20140922_141545285.jpg</t>
  </si>
  <si>
    <t>IMG_20140922_141548258.jpg</t>
  </si>
  <si>
    <t>IMG_20140922_141552615.jpg</t>
  </si>
  <si>
    <t>StrogonoffCarne, StrogonoffFrango, Arroz, Maionese</t>
  </si>
  <si>
    <t>StrogonoffFrango, Maionese</t>
  </si>
  <si>
    <t>IMG_20140922_141555901.jpg</t>
  </si>
  <si>
    <t>Arroz, Maionese, StrogonoffCarne</t>
  </si>
  <si>
    <t>IMG_20140922_141558768.jpg</t>
  </si>
  <si>
    <t>IMG_20140922_141601906.jpg</t>
  </si>
  <si>
    <t>IMG_20140922_141605398.jpg</t>
  </si>
  <si>
    <t>Maionese, Arroz, StrogonoffCarne</t>
  </si>
  <si>
    <t>IMG_20140922_141609496.jpg</t>
  </si>
  <si>
    <t>IMG_20140922_141715409.jpg</t>
  </si>
  <si>
    <t>PureBatata, PeitoFrango, Maionese, Alface</t>
  </si>
  <si>
    <t>PureBatata, PeitoFrango, Alface</t>
  </si>
  <si>
    <t>IMG_20140922_141718090.jpg</t>
  </si>
  <si>
    <t>IMG_20140922_141722942.jpg</t>
  </si>
  <si>
    <t>IMG_20140922_141725524.jpg</t>
  </si>
  <si>
    <t>IMG_20140922_141731024.jpg</t>
  </si>
  <si>
    <t>IMG_20140922_141737531.jpg</t>
  </si>
  <si>
    <t>IMG_20140922_141739947.jpg</t>
  </si>
  <si>
    <t>PureBatata, Alface</t>
  </si>
  <si>
    <t>PeitoFrango</t>
  </si>
  <si>
    <t>IMG_20140922_141743923.jpg</t>
  </si>
  <si>
    <t>PureBatata, Maionese, Alface</t>
  </si>
  <si>
    <t>IMG_20140922_141749449.jpg</t>
  </si>
  <si>
    <t>IMG_20140922_141953922.jpg</t>
  </si>
  <si>
    <t>Arroz, PeitoFrango, Maionese, Alface, PureBatata</t>
  </si>
  <si>
    <t>IMG_20140922_141956688.jpg</t>
  </si>
  <si>
    <t>IMG_20140922_141959973.jpg</t>
  </si>
  <si>
    <t>Arroz</t>
  </si>
  <si>
    <t>IMG_20140922_142002835.jpg</t>
  </si>
  <si>
    <t>IMG_20140922_142006494.jpg</t>
  </si>
  <si>
    <t>IMG_20140922_142008810.jpg</t>
  </si>
  <si>
    <t>IMG_20140922_142012455.jpg</t>
  </si>
  <si>
    <t>Arroz, Macarrao, PeitoFrango, Alface, PureBatata</t>
  </si>
  <si>
    <t>PureBatata, PeitoFrango, Arroz, Alface</t>
  </si>
  <si>
    <t>Macarrao</t>
  </si>
  <si>
    <t>IMG_20140922_142018215.jpg</t>
  </si>
  <si>
    <t>IMG_20140922_142022007.jpg</t>
  </si>
  <si>
    <t>IMG_20140922_142024454.jpg</t>
  </si>
  <si>
    <t>IMG_20140922_142029011.jpg</t>
  </si>
  <si>
    <t>IMG_20140922_142032405.jpg</t>
  </si>
  <si>
    <t>IMG_20140922_142035977.jpg</t>
  </si>
  <si>
    <t>IMG_20140922_142039746.jpg</t>
  </si>
  <si>
    <t>IMG_20140923_141839167.jpg</t>
  </si>
  <si>
    <t>Tomate, BatataFrita, StrogonoffCarne, Alface</t>
  </si>
  <si>
    <t>Tomate, Alface, BatataFrita, StrogonoffCarne</t>
  </si>
  <si>
    <t>StrogonoffCarne, Tomate, Alface, BatataFrita</t>
  </si>
  <si>
    <t>IMG_20140923_141843918.jpg</t>
  </si>
  <si>
    <t>PureBatata, BatataFrita, StrogonoffCarne, Alface</t>
  </si>
  <si>
    <t>StrogonoffCarne, Alface, BatataFrita</t>
  </si>
  <si>
    <t>Tomate</t>
  </si>
  <si>
    <t>IMG_20140923_141847844.jpg</t>
  </si>
  <si>
    <t>IMG_20140923_141851728.jpg</t>
  </si>
  <si>
    <t>StrogonoffCarne, BatataFrita, Tomate, Alface</t>
  </si>
  <si>
    <t>Tomate, BatataFrita, Alface, StrogonoffCarne</t>
  </si>
  <si>
    <t>IMG_20140923_141858705.jpg</t>
  </si>
  <si>
    <t>IMG_20140923_141901553.jpg</t>
  </si>
  <si>
    <t>IMG_20140923_141912036.jpg</t>
  </si>
  <si>
    <t>StrogonoffCarne, Tomate, BatataFrita</t>
  </si>
  <si>
    <t>Tomate, BatataFrita, StrogonoffCarne</t>
  </si>
  <si>
    <t>Alface</t>
  </si>
  <si>
    <t>IMG_20140923_142132372.jpg</t>
  </si>
  <si>
    <t>StrogonoffCarne, Alface</t>
  </si>
  <si>
    <t>Alface, StrogonoffCarne</t>
  </si>
  <si>
    <t>PureBatata, BatataFrita</t>
  </si>
  <si>
    <t>IMG_20140923_142136974.jpg</t>
  </si>
  <si>
    <t>PureBatata, BatataFrita, Alface</t>
  </si>
  <si>
    <t>StrogonoffCarne, BatataFrita, FeijaoCarioca, Alface, PureBatata</t>
  </si>
  <si>
    <t>PureBatata, Alface, BatataFrita</t>
  </si>
  <si>
    <t>FeijaoCarioca, StrogonoffCarne</t>
  </si>
  <si>
    <t>IMG_20140923_142139627.jpg</t>
  </si>
  <si>
    <t>PureBatata, StrogonoffCarne, Maionese, Alface</t>
  </si>
  <si>
    <t>PureBatata, Alface, StrogonoffCarne</t>
  </si>
  <si>
    <t>BatataFrita</t>
  </si>
  <si>
    <t>IMG_20140923_142142307.jpg</t>
  </si>
  <si>
    <t>PureBatata, BatataFrita, CarneBovinaPanela, Alface</t>
  </si>
  <si>
    <t>BatataFrita, Alface, Maionese, StrogonoffCarne</t>
  </si>
  <si>
    <t>Alface, BatataFrita</t>
  </si>
  <si>
    <t>Maionese, StrogonoffCarne</t>
  </si>
  <si>
    <t>PureBatata, CarneBovinaPanela</t>
  </si>
  <si>
    <t>IMG_20140923_142155960.jpg</t>
  </si>
  <si>
    <t>PureBatata, Alface, StrogonoffCarne, BatataFrita</t>
  </si>
  <si>
    <t>StrogonoffCarne</t>
  </si>
  <si>
    <t>CarneBovinaPanela</t>
  </si>
  <si>
    <t>IMG_20140923_142158768.jpg</t>
  </si>
  <si>
    <t>BatataFrita, Alface, StrogonoffCarne</t>
  </si>
  <si>
    <t>IMG_20140923_142201578.jpg</t>
  </si>
  <si>
    <t>StrogonoffCarne, CarneBovinaPanela, BatataFrita, Alface, PureBatata</t>
  </si>
  <si>
    <t>PureBatata, BatataFrita, Alface, StrogonoffCarne</t>
  </si>
  <si>
    <t>IMG_20140923_142204034.jpg</t>
  </si>
  <si>
    <t>IMG_20140923_142206679.jpg</t>
  </si>
  <si>
    <t>IMG_20140923_142210125.jpg</t>
  </si>
  <si>
    <t>IMG_20140923_142327366.jpg</t>
  </si>
  <si>
    <t>StrogonoffCarne, BatataFrita, Alface, PureBatata, Tomate</t>
  </si>
  <si>
    <t>PureBatata, Tomate</t>
  </si>
  <si>
    <t>IMG_20140923_142337965.jpg</t>
  </si>
  <si>
    <t>IMG_20140923_142341729.jpg</t>
  </si>
  <si>
    <t>IMG_20140923_142345726.jpg</t>
  </si>
  <si>
    <t>Tomate, BatataFrita, Alface</t>
  </si>
  <si>
    <t>IMG_20140923_142350023.jpg</t>
  </si>
  <si>
    <t>IMG_20140923_142354180.jpg</t>
  </si>
  <si>
    <t>IMG_20140923_142358872.jpg</t>
  </si>
  <si>
    <t>IMG_20140923_142403477.jpg</t>
  </si>
  <si>
    <t>IMG_20140923_142407526.jpg</t>
  </si>
  <si>
    <t>IMG_20140923_142411003.jpg</t>
  </si>
  <si>
    <t>BatataFrita, BifeBovinoChapa, Alface, StrogonoffCarne</t>
  </si>
  <si>
    <t>BifeBovinoChapa</t>
  </si>
  <si>
    <t>IMG_20140923_142415345.jpg</t>
  </si>
  <si>
    <t>IMG_20140923_142419813.jpg</t>
  </si>
  <si>
    <t>IMG_20140923_142428246.jpg</t>
  </si>
  <si>
    <t>StrogonoffCarne, Alface, FeijaoCarioca, BatataFrita</t>
  </si>
  <si>
    <t>FeijaoCarioca</t>
  </si>
  <si>
    <t>IMG_20140924_140210977.jpg</t>
  </si>
  <si>
    <t>Cenoura, Beterraba</t>
  </si>
  <si>
    <t>Beterraba, Cenoura, BatataFrita</t>
  </si>
  <si>
    <t>Beterraba, Cenoura</t>
  </si>
  <si>
    <t>IMG_20140924_140214101.jpg</t>
  </si>
  <si>
    <t>IMG_20140924_140217172.jpg</t>
  </si>
  <si>
    <t>Cenoura, Beterraba, BatataFrita</t>
  </si>
  <si>
    <t>IMG_20140924_140220363.jpg</t>
  </si>
  <si>
    <t>IMG_20140924_140223186.jpg</t>
  </si>
  <si>
    <t>IMG_20140924_140226567.jpg</t>
  </si>
  <si>
    <t>IMG_20140924_140229873.jpg</t>
  </si>
  <si>
    <t>IMG_20140924_140233177.jpg</t>
  </si>
  <si>
    <t>IMG_20140924_140236324.jpg</t>
  </si>
  <si>
    <t>IMG_20140924_140241612.jpg</t>
  </si>
  <si>
    <t>IMG_20140924_140246604.jpg</t>
  </si>
  <si>
    <t>IMG_20140924_140250372.jpg</t>
  </si>
  <si>
    <t>IMG_20140924_140255107.jpg</t>
  </si>
  <si>
    <t>IMG_20140924_140259946.jpg</t>
  </si>
  <si>
    <t>IMG_20140924_140303447.jpg</t>
  </si>
  <si>
    <t>IMG_20140924_140307967.jpg</t>
  </si>
  <si>
    <t>IMG_20140924_140311579.jpg</t>
  </si>
  <si>
    <t>IMG_20140924_140315430.jpg</t>
  </si>
  <si>
    <t>IMG_20140924_140725750.jpg</t>
  </si>
  <si>
    <t>Cenoura, Beterraba, Alface</t>
  </si>
  <si>
    <t>Beterraba, Cenoura, Alface</t>
  </si>
  <si>
    <t>IMG_20140924_140729899.jpg</t>
  </si>
  <si>
    <t>Cenoura, Alface</t>
  </si>
  <si>
    <t>Beterraba</t>
  </si>
  <si>
    <t>IMG_20140924_140733795.jpg</t>
  </si>
  <si>
    <t>IMG_20140924_140737649.jpg</t>
  </si>
  <si>
    <t>IMG_20140924_140742123.jpg</t>
  </si>
  <si>
    <t>IMG_20140924_140745849.jpg</t>
  </si>
  <si>
    <t>IMG_20140924_140749822.jpg</t>
  </si>
  <si>
    <t>IMG_20140924_140752877.jpg</t>
  </si>
  <si>
    <t>IMG_20140924_140756347.jpg</t>
  </si>
  <si>
    <t>Alface, Cenoura, BatataFrita</t>
  </si>
  <si>
    <t>IMG_20140924_140800943.jpg</t>
  </si>
  <si>
    <t>IMG_20140924_140805707.jpg</t>
  </si>
  <si>
    <t>IMG_20140924_140809103.jpg</t>
  </si>
  <si>
    <t>IMG_20140924_141128712.jpg</t>
  </si>
  <si>
    <t>Tomate, Cenoura, Beterraba, Alface</t>
  </si>
  <si>
    <t>Tomate, Cenoura, Alface</t>
  </si>
  <si>
    <t>IMG_20140924_141132940.jpg</t>
  </si>
  <si>
    <t>Tomate, Alface, Cenoura, BatataFrita</t>
  </si>
  <si>
    <t>IMG_20140924_141137076.jpg</t>
  </si>
  <si>
    <t>IMG_20140924_141140699.jpg</t>
  </si>
  <si>
    <t>IMG_20140924_141144612.jpg</t>
  </si>
  <si>
    <t>IMG_20140924_141147960.jpg</t>
  </si>
  <si>
    <t>IMG_20140924_141150912.jpg</t>
  </si>
  <si>
    <t>IMG_20140924_141153768.jpg</t>
  </si>
  <si>
    <t>IMG_20140924_141157107.jpg</t>
  </si>
  <si>
    <t>IMG_20140924_141201180.jpg</t>
  </si>
  <si>
    <t>Tomate, Alface</t>
  </si>
  <si>
    <t>IMG_20140924_141205151.jpg</t>
  </si>
  <si>
    <t>IMG_20140924_141213669.jpg</t>
  </si>
  <si>
    <t>Tomate, Beterraba, Alface</t>
  </si>
  <si>
    <t>Cenoura</t>
  </si>
  <si>
    <t>IMG_20140924_141217706.jpg</t>
  </si>
  <si>
    <t>IMG_20140925_142756609.jpg</t>
  </si>
  <si>
    <t>Cenoura, Beterraba, Arroz, BatataFrita, Maionese</t>
  </si>
  <si>
    <t>PeitoFrango, Arroz, BatataFrita</t>
  </si>
  <si>
    <t>Arroz, BatataFrita</t>
  </si>
  <si>
    <t>Beterraba, Cenoura, Maionese</t>
  </si>
  <si>
    <t>IMG_20140925_142803154.jpg</t>
  </si>
  <si>
    <t>Cenoura, Beterraba, Arroz, BatataFrita</t>
  </si>
  <si>
    <t>Arroz, PeitoFrango, Maionese, BatataFrita</t>
  </si>
  <si>
    <t>PeitoFrango, Maionese</t>
  </si>
  <si>
    <t>IMG_20140925_142808406.jpg</t>
  </si>
  <si>
    <t>Cenoura, Beterraba, Arroz, BatataFrita, PeitoFrango, Maionese</t>
  </si>
  <si>
    <t>Arroz, Maionese, BatataFrita</t>
  </si>
  <si>
    <t>BatataFrita, Arroz, Maionese</t>
  </si>
  <si>
    <t>Beterraba, PeitoFrango, Cenoura</t>
  </si>
  <si>
    <t>IMG_20140925_142816661.jpg</t>
  </si>
  <si>
    <t>Cenoura, CarneBovinaPanela, Beterraba, Arroz, BatataFrita, Maionese</t>
  </si>
  <si>
    <t>CarneBovinaPanela, Beterraba, Cenoura, Maionese</t>
  </si>
  <si>
    <t>IMG_20140925_142824679.jpg</t>
  </si>
  <si>
    <t>Cenoura, BifeBovinoChapa, Beterraba, Arroz, BatataFrita, Maionese</t>
  </si>
  <si>
    <t>Maionese, PeitoFrango, Arroz, BatataFrita</t>
  </si>
  <si>
    <t>BifeBovinoChapa, Beterraba, Cenoura</t>
  </si>
  <si>
    <t>IMG_20140925_142832913.jpg</t>
  </si>
  <si>
    <t>IMG_20140925_142841432.jpg</t>
  </si>
  <si>
    <t>IMG_20140925_142846747.jpg</t>
  </si>
  <si>
    <t>PeitoFrango, BatataFrita</t>
  </si>
  <si>
    <t>Cenoura, BifeBovinoChapa, Beterraba, Arroz, Maionese</t>
  </si>
  <si>
    <t>IMG_20140925_142853063.jpg</t>
  </si>
  <si>
    <t>BifeBovinoChapa, Beterraba, Cenoura, Maionese</t>
  </si>
  <si>
    <t>IMG_20140925_142859396.jpg</t>
  </si>
  <si>
    <t>IMG_20140925_142903454.jpg</t>
  </si>
  <si>
    <t>CarneBovinaPanela, Beterraba, Cenoura</t>
  </si>
  <si>
    <t>IMG_20140925_142907158.jpg</t>
  </si>
  <si>
    <t>BatataFrita, PeitoFrango, Arroz, Maionese</t>
  </si>
  <si>
    <t>Maionese, Arroz, BatataFrita</t>
  </si>
  <si>
    <t>IMG_20140925_142910709.jpg</t>
  </si>
  <si>
    <t>IMG_20140925_142914503.jpg</t>
  </si>
  <si>
    <t>IMG_20140925_142917854.jpg</t>
  </si>
  <si>
    <t>Cenoura, Almondega, Beterraba, Arroz, BatataFrita, Maionese</t>
  </si>
  <si>
    <t>Beterraba, Almondega, Cenoura</t>
  </si>
  <si>
    <t>IMG_20140925_142921400.jpg</t>
  </si>
  <si>
    <t>IMG_20140925_142926445.jpg</t>
  </si>
  <si>
    <t>IMG_20140926_140501433.jpg</t>
  </si>
  <si>
    <t>Beterraba, Arroz, BatataFrita, Tomate, PureBatata, StrogonoffFrango</t>
  </si>
  <si>
    <t>StrogonoffFrango, Beterraba, Arroz, BatataFrita, PureBatata, Tomate</t>
  </si>
  <si>
    <t>IMG_20140926_140505834.jpg</t>
  </si>
  <si>
    <t>PureBatata, StrogonoffFrango, Beterraba, BatataFrita</t>
  </si>
  <si>
    <t>Tomate, Arroz</t>
  </si>
  <si>
    <t>IMG_20140926_140508758.jpg</t>
  </si>
  <si>
    <t>Beterraba, Arroz, BatataFrita, PureBatata, StrogonoffFrango</t>
  </si>
  <si>
    <t>IMG_20140926_140511730.jpg</t>
  </si>
  <si>
    <t>Beterraba, Arroz, BatataFrita</t>
  </si>
  <si>
    <t>PureBatata, Tomate, StrogonoffFrango</t>
  </si>
  <si>
    <t>IMG_20140926_140514520.jpg</t>
  </si>
  <si>
    <t>IMG_20140926_140517193.jpg</t>
  </si>
  <si>
    <t>IMG_20140926_140519827.jpg</t>
  </si>
  <si>
    <t>Beterraba, Arroz, BatataFrita, PeitoFrango, PureBatata, Tomate</t>
  </si>
  <si>
    <t>Beterraba, Arroz, BatataFrita, PureBatata, Tomate</t>
  </si>
  <si>
    <t>StrogonoffFrango</t>
  </si>
  <si>
    <t>IMG_20140926_140522907.jpg</t>
  </si>
  <si>
    <t>IMG_20140926_140526256.jpg</t>
  </si>
  <si>
    <t>IMG_20140926_140529223.jpg</t>
  </si>
  <si>
    <t>IMG_20140926_140532118.jpg</t>
  </si>
  <si>
    <t>IMG_20140926_140535085.jpg</t>
  </si>
  <si>
    <t>IMG_20140926_140537863.jpg</t>
  </si>
  <si>
    <t>IMG_20140926_140540570.jpg</t>
  </si>
  <si>
    <t>IMG_20140926_140545030.jpg</t>
  </si>
  <si>
    <t>PureBatata, Beterraba, Arroz, BatataFrita</t>
  </si>
  <si>
    <t>Tomate, PeitoFrango</t>
  </si>
  <si>
    <t>IMG_20140926_140733571.jpg</t>
  </si>
  <si>
    <t>PureBatata, Cenoura, Beterraba, Tomate</t>
  </si>
  <si>
    <t>Tomate, Cenoura, Beterraba</t>
  </si>
  <si>
    <t>Tomate, Beterraba, Cenoura</t>
  </si>
  <si>
    <t>IMG_20140926_140738331.jpg</t>
  </si>
  <si>
    <t>IMG_20140926_140742196.jpg</t>
  </si>
  <si>
    <t>Tomate, PeitoFrango, Beterraba, Cenoura</t>
  </si>
  <si>
    <t>IMG_20140926_140746079.jpg</t>
  </si>
  <si>
    <t>Tomate, Beterraba, BatataFrita</t>
  </si>
  <si>
    <t>Tomate, Beterraba</t>
  </si>
  <si>
    <t>PureBatata, Cenoura</t>
  </si>
  <si>
    <t>IMG_20140926_140749346.jpg</t>
  </si>
  <si>
    <t>IMG_20140926_140753879.jpg</t>
  </si>
  <si>
    <t>Tomate, Beterraba, Cenoura, BatataFrita</t>
  </si>
  <si>
    <t>IMG_20140926_140756732.jpg</t>
  </si>
  <si>
    <t>IMG_20141114_135647024.jpg</t>
  </si>
  <si>
    <t>BatataFrita, Almondega, FeijaoCarioca, StrogonoffCarne</t>
  </si>
  <si>
    <t>StrogonoffCarne, Almondega, FeijaoCarioca, BatataFrita</t>
  </si>
  <si>
    <t>IMG_20141114_135700043.jpg</t>
  </si>
  <si>
    <t>StrogonoffCarne, FeijaoCarioca, BatataFrita</t>
  </si>
  <si>
    <t>StrogonoffFrango, BatataFrita, FeijaoCarioca, StrogonoffCarne</t>
  </si>
  <si>
    <t>BatataFrita, FeijaoCarioca, StrogonoffCarne</t>
  </si>
  <si>
    <t>IMG_20141114_135704542.jpg</t>
  </si>
  <si>
    <t>IMG_20141114_135709306.jpg</t>
  </si>
  <si>
    <t>PureBatata, BatataFrita, FeijaoCarioca, StrogonoffCarne</t>
  </si>
  <si>
    <t>Almondega</t>
  </si>
  <si>
    <t>IMG_20141114_135713838.jpg</t>
  </si>
  <si>
    <t>IMG_20141114_135717887.jpg</t>
  </si>
  <si>
    <t>StrogonoffCarne, Almondega, BatataFrita, FeijaoCarioca, StrogonoffFrango</t>
  </si>
  <si>
    <t>IMG_20141114_135722266.jpg</t>
  </si>
  <si>
    <t>IMG_20141114_135726840.jpg</t>
  </si>
  <si>
    <t>IMG_20141114_135732309.jpg</t>
  </si>
  <si>
    <t>IMG_20141114_135737352.jpg</t>
  </si>
  <si>
    <t>IMG_20141114_135747137.jpg</t>
  </si>
  <si>
    <t>IMG_20141114_135752305.jpg</t>
  </si>
  <si>
    <t>IMG_20141114_135757315.jpg</t>
  </si>
  <si>
    <t>IMG_20141114_135805733.jpg</t>
  </si>
  <si>
    <t>IMG_20141114_135811239.jpg</t>
  </si>
  <si>
    <t>IMG_20141114_135815907.jpg</t>
  </si>
  <si>
    <t>IMG_20141114_135819953.jpg</t>
  </si>
  <si>
    <t>IMG_20141114_135824040.jpg</t>
  </si>
  <si>
    <t>IMG_20141114_135828947.jpg</t>
  </si>
  <si>
    <t>IMG_20141120_121745664.jpg</t>
  </si>
  <si>
    <t>Cenoura, Arroz, PeitoFrango, FeijaoCarioca, Maionese, Alface</t>
  </si>
  <si>
    <t>PeitoFrango, FeijaoCarioca, Maionese, Alface</t>
  </si>
  <si>
    <t>Cenoura, Arroz</t>
  </si>
  <si>
    <t>IMG_20141120_121751883.jpg</t>
  </si>
  <si>
    <t>IMG_20141120_121757461.jpg</t>
  </si>
  <si>
    <t>Cenoura, PeitoFrango, FeijaoCarioca, Alface</t>
  </si>
  <si>
    <t>FeijaoCarioca, PeitoFrango, Cenoura, Alface</t>
  </si>
  <si>
    <t>Arroz, Maionese</t>
  </si>
  <si>
    <t>IMG_20141120_121807602.jpg</t>
  </si>
  <si>
    <t>Cenoura, PeitoFrango, FeijaoCarioca, Maionese, Alface</t>
  </si>
  <si>
    <t>IMG_20141120_121813337.jpg</t>
  </si>
  <si>
    <t>IMG_20141120_121818960.jpg</t>
  </si>
  <si>
    <t>Cenoura, Arroz, FeijaoCarioca, Maionese, Alface</t>
  </si>
  <si>
    <t>Cenoura, FeijaoCarioca, Alface</t>
  </si>
  <si>
    <t>IMG_20141120_121824571.jpg</t>
  </si>
  <si>
    <t>Cenoura, BifeBovinoChapa, Arroz, FeijaoCarioca, Maionese, Alface</t>
  </si>
  <si>
    <t>FeijaoCarioca, Maionese, Alface</t>
  </si>
  <si>
    <t>BifeBovinoChapa, Cenoura, Arroz</t>
  </si>
  <si>
    <t>IMG_20141120_121835721.jpg</t>
  </si>
  <si>
    <t>IMG_20141120_122214184.jpg</t>
  </si>
  <si>
    <t>CarneBovinaPanela, PureBatata, Arroz, BatataFrita</t>
  </si>
  <si>
    <t>PureBatata, BatataFrita, Arroz, StrogonoffCarne</t>
  </si>
  <si>
    <t>PureBatata, Arroz, BatataFrita</t>
  </si>
  <si>
    <t>IMG_20141120_122220817.jpg</t>
  </si>
  <si>
    <t>PureBatata, StrogonoffCarne, Arroz, BatataFrita</t>
  </si>
  <si>
    <t>BatataFrita, Arroz, StrogonoffCarne</t>
  </si>
  <si>
    <t>StrogonoffCarne, Arroz, BatataFrita</t>
  </si>
  <si>
    <t>IMG_20141120_122225900.jpg</t>
  </si>
  <si>
    <t>StrogonoffCarne, PureBatata, Arroz, BatataFrita</t>
  </si>
  <si>
    <t>IMG_20141120_122230767.jpg</t>
  </si>
  <si>
    <t>IMG_20141120_122237828.jpg</t>
  </si>
  <si>
    <t>StrogonoffCarne, Arroz, BatataFrita, PureBatata, StrogonoffFrango</t>
  </si>
  <si>
    <t>IMG_20141120_122243994.jpg</t>
  </si>
  <si>
    <t>IMG_20141120_122248306.jpg</t>
  </si>
  <si>
    <t>PureBatata, StrogonoffFrango, StrogonoffCarne, BatataFrita</t>
  </si>
  <si>
    <t>StrogonoffFrango, StrogonoffCarne</t>
  </si>
  <si>
    <t>CarneBovinaPanela, Arroz</t>
  </si>
  <si>
    <t>IMG_20150227_140315905.jpg</t>
  </si>
  <si>
    <t>StrogonoffFrango, Almondega, Arroz</t>
  </si>
  <si>
    <t>StrogonoffFrango, Arroz, Maionese</t>
  </si>
  <si>
    <t>StrogonoffFrango, Arroz</t>
  </si>
  <si>
    <t>IMG_20150227_140327733.jpg</t>
  </si>
  <si>
    <t>IMG_20150227_140334146.jpg</t>
  </si>
  <si>
    <t>StrogonoffFrango, Almondega, Arroz, Maionese</t>
  </si>
  <si>
    <t>Almondega, Maionese</t>
  </si>
  <si>
    <t>IMG_20150227_140339041.jpg</t>
  </si>
  <si>
    <t>IMG_20150303_143036467.jpg</t>
  </si>
  <si>
    <t>Arroz, BatataFrita, PeitoFrango, Maionese, Alface</t>
  </si>
  <si>
    <t>StrogonoffFrango, Alface, Arroz, BatataFrita</t>
  </si>
  <si>
    <t>BatataFrita, Arroz, Alface</t>
  </si>
  <si>
    <t>IMG_20150303_143042296.jpg</t>
  </si>
  <si>
    <t>Arroz, BatataFrita, Alface, PureBatata, StrogonoffFrango</t>
  </si>
  <si>
    <t>StrogonoffFrango, Arroz, Alface</t>
  </si>
  <si>
    <t>IMG_20150303_143045563.jpg</t>
  </si>
  <si>
    <t>StrogonoffFrango, BatataFrita, Arroz, Alface</t>
  </si>
  <si>
    <t>IMG_20150303_143048723.jpg</t>
  </si>
  <si>
    <t>StrogonoffFrango, Alface, Arroz, Maionese</t>
  </si>
  <si>
    <t>IMG_20150303_143052019.jpg</t>
  </si>
  <si>
    <t>Arroz, BatataFrita, PeitoFrango, Alface, PureBatata</t>
  </si>
  <si>
    <t>Arroz, Alface</t>
  </si>
  <si>
    <t>PureBatata, PeitoFrango, BatataFrita</t>
  </si>
  <si>
    <t>IMG_20150303_143055841.jpg</t>
  </si>
  <si>
    <t>BatataFrita, StrogonoffFrango, Arroz, Alface</t>
  </si>
  <si>
    <t>IMG_20150303_143059689.jpg</t>
  </si>
  <si>
    <t>Maionese, Arroz, Alface</t>
  </si>
  <si>
    <t>IMG_20150303_143103643.jpg</t>
  </si>
  <si>
    <t>IMG_20150303_143107525.jpg</t>
  </si>
  <si>
    <t>StrogonoffFrango, Arroz, Maionese, Alface</t>
  </si>
  <si>
    <t>Alface, Arroz, Maionese</t>
  </si>
  <si>
    <t>IMG_20150303_143110920.jpg</t>
  </si>
  <si>
    <t>Arroz, BatataFrita, Maionese, Alface, StrogonoffFrango</t>
  </si>
  <si>
    <t>IMG_20150303_143113805.jpg</t>
  </si>
  <si>
    <t>IMG_20150303_143442140.jpg</t>
  </si>
  <si>
    <t>IMG_20150303_143449192.jpg</t>
  </si>
  <si>
    <t>IMG_20150303_143456222.jpg</t>
  </si>
  <si>
    <t>IMG_20150303_143503288.jpg</t>
  </si>
  <si>
    <t>IMG_20150303_143506248.jpg</t>
  </si>
  <si>
    <t>Alface, Arroz, BatataFrita</t>
  </si>
  <si>
    <t>IMG_20150303_143509975.jpg</t>
  </si>
  <si>
    <t>IMG_20150303_143513107.jpg</t>
  </si>
  <si>
    <t>PureBatata, StrogonoffFrango</t>
  </si>
  <si>
    <t>IMG_20150303_143515897.jpg</t>
  </si>
  <si>
    <t>IMG_20150305_140245793.jpg</t>
  </si>
  <si>
    <t>Almondega, Arroz</t>
  </si>
  <si>
    <t>IMG_20150305_140249752.jpg</t>
  </si>
  <si>
    <t>PureBatata, Almondega, StrogonoffCarne</t>
  </si>
  <si>
    <t>Almondega, StrogonoffCarne</t>
  </si>
  <si>
    <t>IMG_20150305_140254301.jpg</t>
  </si>
  <si>
    <t>PeitoFrango, Almondega</t>
  </si>
  <si>
    <t>Almondega, PeitoFrango</t>
  </si>
  <si>
    <t>IMG_20150305_140259332.jpg</t>
  </si>
  <si>
    <t>PureBatata, StrogonoffCarne</t>
  </si>
  <si>
    <t>IMG_20150305_141610336.jpg</t>
  </si>
  <si>
    <t>IMG_20150305_141614529.jpg</t>
  </si>
  <si>
    <t>PureBatata, BifeBovinoChapa, Almondega</t>
  </si>
  <si>
    <t>BifeBovinoChapa, Almondega</t>
  </si>
  <si>
    <t>IMG_20150305_141618880.jpg</t>
  </si>
  <si>
    <t>PureBatata, Almondega</t>
  </si>
  <si>
    <t>IMG_20150305_141622240.jpg</t>
  </si>
  <si>
    <t>IMG_20150305_141625367.jpg</t>
  </si>
  <si>
    <t>BifeBovinoChapa, FeijaoCarioca</t>
  </si>
  <si>
    <t>IMG_20150305_141630286.jpg</t>
  </si>
  <si>
    <t>IMG_20150305_141638403.jpg</t>
  </si>
  <si>
    <t>IMG_20150305_141642959.jpg</t>
  </si>
  <si>
    <t>IMG_20150305_141646986.jpg</t>
  </si>
  <si>
    <t>IMG_20150305_141652808.jpg</t>
  </si>
  <si>
    <t>IMG_20150305_141657828.jpg</t>
  </si>
  <si>
    <t>IMG_20150305_141709848.jpg</t>
  </si>
  <si>
    <t>IMG_20150305_141955396.jpg</t>
  </si>
  <si>
    <t>PureBatata, Arroz</t>
  </si>
  <si>
    <t>IMG_20150305_142018869.jpg</t>
  </si>
  <si>
    <t>IMG_20150305_142023190.jpg</t>
  </si>
  <si>
    <t>IMG_20150305_142027510.jpg</t>
  </si>
  <si>
    <t>IMG_20150305_144732937.jpg</t>
  </si>
  <si>
    <t>IMG_20150305_144739342.jpg</t>
  </si>
  <si>
    <t>PureBatata, Beterraba, Alface</t>
  </si>
  <si>
    <t>IMG_20150305_144743899.jpg</t>
  </si>
  <si>
    <t>IMG_20150305_144749206.jpg</t>
  </si>
  <si>
    <t>CarneBovinaPanela, BifeBovinoChapa</t>
  </si>
  <si>
    <t>IMG_20150305_144753355.jpg</t>
  </si>
  <si>
    <t>CarneBovinaPanela, BifeBovinoChapa, Arroz</t>
  </si>
  <si>
    <t>IMG_20150305_144757638.jpg</t>
  </si>
  <si>
    <t>IMG_20150305_144806628.jpg</t>
  </si>
  <si>
    <t>IMG_20150309_142923008.jpg</t>
  </si>
  <si>
    <t>Cenoura, StrogonoffFrango, FeijaoCarioca</t>
  </si>
  <si>
    <t>StrogonoffCarne, Almondega, PeitoFrango, FeijaoCarioca, StrogonoffFrango</t>
  </si>
  <si>
    <t>StrogonoffFrango, FeijaoCarioca</t>
  </si>
  <si>
    <t>PeitoFrango, Almondega, StrogonoffCarne</t>
  </si>
  <si>
    <t>IMG_20150309_142946997.jpg</t>
  </si>
  <si>
    <t>StrogonoffFrango, PeitoFrango, FeijaoCarioca, StrogonoffCarne</t>
  </si>
  <si>
    <t>IMG_20150309_142954229.jpg</t>
  </si>
  <si>
    <t>StrogonoffFrango, PeitoFrango, FeijaoCarioca</t>
  </si>
  <si>
    <t>IMG_20150309_143003835.jpg</t>
  </si>
  <si>
    <t>IMG_20150309_143013831.jpg</t>
  </si>
  <si>
    <t>IMG_20150309_143017753.jpg</t>
  </si>
  <si>
    <t>IMG_20150309_143041657.jpg</t>
  </si>
  <si>
    <t>IMG_20150312_140416703.jpg</t>
  </si>
  <si>
    <t>IMG_20150312_140422256.jpg</t>
  </si>
  <si>
    <t>IMG_20150312_140427003.jpg</t>
  </si>
  <si>
    <t>PureBatata, CarneBovinaPanela, StrogonoffCarne</t>
  </si>
  <si>
    <t>IMG_20150312_140430226.jpg</t>
  </si>
  <si>
    <t>IMG_20150312_140434723.jpg</t>
  </si>
  <si>
    <t>IMG_20150312_140438603.jpg</t>
  </si>
  <si>
    <t>CarneBovinaPanela, PureBatata, Arroz, StrogonoffCarne</t>
  </si>
  <si>
    <t>IMG_20150312_140443382.jpg</t>
  </si>
  <si>
    <t>IMG_20150312_140448485.jpg</t>
  </si>
  <si>
    <t>PureBatata, FeijaoCarioca, Arroz, StrogonoffCarne</t>
  </si>
  <si>
    <t>IMG_20150312_140452112.jpg</t>
  </si>
  <si>
    <t>PureBatata, StrogonoffFrango, Arroz, StrogonoffCarne</t>
  </si>
  <si>
    <t>IMG_20150312_140455354.jpg</t>
  </si>
  <si>
    <t>IMG_20150312_140554320.jpg</t>
  </si>
  <si>
    <t>FeijaoCarioca, Arroz, StrogonoffCarne</t>
  </si>
  <si>
    <t>IMG_20150312_140557479.jpg</t>
  </si>
  <si>
    <t>PureBatata, FeijaoCarioca, StrogonoffCarne</t>
  </si>
  <si>
    <t>IMG_20150312_140601168.jpg</t>
  </si>
  <si>
    <t>IMG_20150312_140604474.jpg</t>
  </si>
  <si>
    <t>IMG_20150312_140609296.jpg</t>
  </si>
  <si>
    <t>CarneBovinaPanela, FeijaoCarioca, StrogonoffCarne</t>
  </si>
  <si>
    <t>IMG_20150312_140619674.jpg</t>
  </si>
  <si>
    <t>IMG_20150319_133153321.jpg</t>
  </si>
  <si>
    <t>IMG_20150319_133202677.jpg</t>
  </si>
  <si>
    <t>IMG_20150319_133206559.jpg</t>
  </si>
  <si>
    <t>PureBatata, BifeBovinoChapa, StrogonoffCarne</t>
  </si>
  <si>
    <t>IMG_20150319_133212417.jpg</t>
  </si>
  <si>
    <t>PureBatata, PeitoFrango, FeijaoCarioca, StrogonoffCarne</t>
  </si>
  <si>
    <t>IMG_20150319_133216060.jpg</t>
  </si>
  <si>
    <t>PureBatata, PeitoFrango</t>
  </si>
  <si>
    <t>IMG_20150319_133235321.jpg</t>
  </si>
  <si>
    <t>IMG_20150319_133239692.jpg</t>
  </si>
  <si>
    <t>PureBatata, PeitoFrango, StrogonoffCarne</t>
  </si>
  <si>
    <t>IMG_20150319_133255962.jpg</t>
  </si>
  <si>
    <t>IMG_20150323_140948751.jpg</t>
  </si>
  <si>
    <t>PureBatata, StrogonoffFrango, Arroz</t>
  </si>
  <si>
    <t>IMG_20150323_140952884.jpg</t>
  </si>
  <si>
    <t>IMG_20150323_140956006.jpg</t>
  </si>
  <si>
    <t>IMG_20150323_140959659.jpg</t>
  </si>
  <si>
    <t>IMG_20150323_141003935.jpg</t>
  </si>
  <si>
    <t>IMG_20150323_141007842.jpg</t>
  </si>
  <si>
    <t>IMG_20150323_141010938.jpg</t>
  </si>
  <si>
    <t>prato_2_1.jpg</t>
  </si>
  <si>
    <t>PeitoFrango, Beterraba, Maionese, Alface</t>
  </si>
  <si>
    <t>prato_2_2.jpg</t>
  </si>
  <si>
    <t>PureBatata, PeitoFrango, Beterraba</t>
  </si>
  <si>
    <t>prato_2_3.jpg</t>
  </si>
  <si>
    <t>prato_2_4.jpg</t>
  </si>
  <si>
    <t>prato_2_5.jpg</t>
  </si>
  <si>
    <t>prato_2_6.jpg</t>
  </si>
  <si>
    <t>BifeBovinoChapa, Beterraba, PeitoFrango, Maionese, Alface</t>
  </si>
  <si>
    <t>PeitoFrango, Maionese, Alface, BifeBovinoChapa, Beterraba</t>
  </si>
  <si>
    <t>prato_2_7.jpg</t>
  </si>
  <si>
    <t>Beterraba, Maionese</t>
  </si>
  <si>
    <t>prato_3_1.jpg</t>
  </si>
  <si>
    <t>StrogonoffCarne, Beterraba, PeitoFrango, Alface, StrogonoffFrango</t>
  </si>
  <si>
    <t>PeitoFrango, StrogonoffCarne, StrogonoffFrango, Alface, Beterraba</t>
  </si>
  <si>
    <t>prato_3_2.jpg</t>
  </si>
  <si>
    <t>PeitoFrango, Beterraba, Alface</t>
  </si>
  <si>
    <t>prato_3_3.jpg</t>
  </si>
  <si>
    <t>StrogonoffFrango, Beterraba, Alface</t>
  </si>
  <si>
    <t>prato_3_4.jpg</t>
  </si>
  <si>
    <t>Beterraba, StrogonoffCarne</t>
  </si>
  <si>
    <t>prato_3_5.jpg</t>
  </si>
  <si>
    <t>PeitoFrango, Beterraba, StrogonoffCarne</t>
  </si>
  <si>
    <t>prato_3_6.jpg</t>
  </si>
  <si>
    <t>prato_4_1.jpg</t>
  </si>
  <si>
    <t>prato_4_2.jpg</t>
  </si>
  <si>
    <t>prato_4_3.jpg</t>
  </si>
  <si>
    <t>prato_4_4.jpg</t>
  </si>
  <si>
    <t>prato_4_5.jpg</t>
  </si>
  <si>
    <t>prato_4_6.jpg</t>
  </si>
  <si>
    <t>prato_dia1_1.jpg</t>
  </si>
  <si>
    <t>prato_dia1_2.jpg</t>
  </si>
  <si>
    <t>prato_dia1_3.jpg</t>
  </si>
  <si>
    <t>prato_dia1_4.jpg</t>
  </si>
  <si>
    <t>StrogonoffFrango, Maionese, StrogonoffCarne</t>
  </si>
  <si>
    <t>Aux 1</t>
  </si>
  <si>
    <t>Aux 2</t>
  </si>
  <si>
    <t>Acurácia Média</t>
  </si>
  <si>
    <t>Recall Global</t>
  </si>
  <si>
    <r>
      <t>*** Recall Global é Soma de todos os Acertos</t>
    </r>
    <r>
      <rPr>
        <sz val="11"/>
        <color theme="1"/>
        <rFont val="Calibri"/>
        <family val="2"/>
        <scheme val="minor"/>
      </rPr>
      <t xml:space="preserve"> dividida pela Soma de todos os Itens Reais.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</si>
</sst>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top"/>
    </xf>
    <xf numFmtId="2" fontId="0" fillId="0" borderId="0" xfId="0" applyNumberFormat="1"/>
    <xf numFmtId="0" fontId="2" fillId="2" borderId="0" xfId="0" applyFont="1" applyFill="1"/>
    <xf numFmtId="0" fontId="0" fillId="0" borderId="0" xfId="0" applyFont="1" applyAlignment="1">
      <alignment wrapText="1"/>
    </xf>
    <xf numFmtId="0" fontId="3" fillId="2" borderId="2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top"/>
    </xf>
    <xf numFmtId="0" fontId="0" fillId="0" borderId="0" xfId="0" applyBorder="1"/>
    <xf numFmtId="0" fontId="4" fillId="0" borderId="0" xfId="0" applyFont="1" applyBorder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theme="4" tint="-0.49998474074526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5A2D1F-FE4A-49F9-A1E8-1980DF94E58F}" name="Tabela1" displayName="Tabela1" ref="A1:I196" totalsRowShown="0" headerRowDxfId="3" headerRowBorderDxfId="4" tableBorderDxfId="2">
  <autoFilter ref="A1:I196" xr:uid="{F75A2D1F-FE4A-49F9-A1E8-1980DF94E58F}"/>
  <tableColumns count="9">
    <tableColumn id="1" xr3:uid="{BB801330-0945-4AB5-9A0C-ED3D04D2E4E6}" name="Arquivo"/>
    <tableColumn id="2" xr3:uid="{9E45A10C-A0A5-42E5-8C84-F61508075B4C}" name="Gemini (Real)"/>
    <tableColumn id="3" xr3:uid="{D9FD72D4-E6C8-4800-938B-ABFEEB34DF91}" name="Seu Modelo (Pred)"/>
    <tableColumn id="4" xr3:uid="{017346B8-D196-420B-929C-2FADF082537E}" name="Em Comum (Acerto)"/>
    <tableColumn id="5" xr3:uid="{0CD9D1DA-4E7B-4CAC-910B-14E14E5B736B}" name="Modelo Errou (Alucinação)"/>
    <tableColumn id="6" xr3:uid="{750BDBF5-46E4-47E5-A2CE-D3F998CACE05}" name="Modelo Não Viu (Omissão)"/>
    <tableColumn id="7" xr3:uid="{7322BFF3-165A-4259-87F1-18AEFFACFD38}" name="Acurácia (%)"/>
    <tableColumn id="8" xr3:uid="{BDF35C8E-4890-4E52-9C41-D70FEAE3E5E1}" name="Aux 1" dataDxfId="1">
      <calculatedColumnFormula>IF(B2="",0,LEN(B2)-LEN(SUBSTITUTE(B2,",",""))+1)</calculatedColumnFormula>
    </tableColumn>
    <tableColumn id="9" xr3:uid="{FC8E6AC9-2E04-43B2-B7F3-E40A837CFEBE}" name="Aux 2" dataDxfId="0">
      <calculatedColumnFormula>IF(D2="",0,LEN(D2)-LEN(SUBSTITUTE(D2,",",""))+1)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"/>
  <sheetViews>
    <sheetView showGridLines="0" topLeftCell="B167" workbookViewId="0">
      <selection activeCell="K196" sqref="K196"/>
    </sheetView>
  </sheetViews>
  <sheetFormatPr defaultRowHeight="15"/>
  <cols>
    <col min="1" max="1" width="27.28515625" customWidth="1"/>
    <col min="2" max="2" width="70.28515625" customWidth="1"/>
    <col min="3" max="3" width="48" customWidth="1"/>
    <col min="4" max="4" width="44.85546875" customWidth="1"/>
    <col min="5" max="5" width="26.7109375" customWidth="1"/>
    <col min="6" max="6" width="27" customWidth="1"/>
    <col min="7" max="7" width="14" customWidth="1"/>
  </cols>
  <sheetData>
    <row r="1" spans="1:9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510</v>
      </c>
      <c r="I1" s="6" t="s">
        <v>511</v>
      </c>
    </row>
    <row r="2" spans="1:9">
      <c r="A2" s="7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s="7">
        <v>66.67</v>
      </c>
      <c r="H2" s="8">
        <f t="shared" ref="H2:H65" si="0">IF(B2="",0,LEN(B2)-LEN(SUBSTITUTE(B2,",",""))+1)</f>
        <v>3</v>
      </c>
      <c r="I2" s="8">
        <f t="shared" ref="I2:I65" si="1">IF(D2="",0,LEN(D2)-LEN(SUBSTITUTE(D2,",",""))+1)</f>
        <v>2</v>
      </c>
    </row>
    <row r="3" spans="1:9">
      <c r="A3" s="7" t="s">
        <v>13</v>
      </c>
      <c r="B3" s="7" t="s">
        <v>8</v>
      </c>
      <c r="C3" s="7" t="s">
        <v>9</v>
      </c>
      <c r="D3" s="7" t="s">
        <v>10</v>
      </c>
      <c r="E3" s="7" t="s">
        <v>11</v>
      </c>
      <c r="F3" s="7" t="s">
        <v>12</v>
      </c>
      <c r="G3" s="7">
        <v>66.67</v>
      </c>
      <c r="H3" s="7">
        <f t="shared" si="0"/>
        <v>3</v>
      </c>
      <c r="I3" s="7">
        <f t="shared" si="1"/>
        <v>2</v>
      </c>
    </row>
    <row r="4" spans="1:9">
      <c r="A4" s="7" t="s">
        <v>14</v>
      </c>
      <c r="B4" s="7" t="s">
        <v>8</v>
      </c>
      <c r="C4" s="7" t="s">
        <v>9</v>
      </c>
      <c r="D4" s="7" t="s">
        <v>10</v>
      </c>
      <c r="E4" s="7" t="s">
        <v>11</v>
      </c>
      <c r="F4" s="7" t="s">
        <v>12</v>
      </c>
      <c r="G4" s="7">
        <v>66.67</v>
      </c>
      <c r="H4" s="7">
        <f t="shared" si="0"/>
        <v>3</v>
      </c>
      <c r="I4" s="7">
        <f t="shared" si="1"/>
        <v>2</v>
      </c>
    </row>
    <row r="5" spans="1:9">
      <c r="A5" s="7" t="s">
        <v>15</v>
      </c>
      <c r="B5" s="7" t="s">
        <v>8</v>
      </c>
      <c r="C5" s="7" t="s">
        <v>16</v>
      </c>
      <c r="D5" s="7" t="s">
        <v>10</v>
      </c>
      <c r="E5" s="7" t="s">
        <v>17</v>
      </c>
      <c r="F5" s="7" t="s">
        <v>12</v>
      </c>
      <c r="G5" s="7">
        <v>66.67</v>
      </c>
      <c r="H5" s="7">
        <f t="shared" si="0"/>
        <v>3</v>
      </c>
      <c r="I5" s="7">
        <f t="shared" si="1"/>
        <v>2</v>
      </c>
    </row>
    <row r="6" spans="1:9">
      <c r="A6" s="7" t="s">
        <v>18</v>
      </c>
      <c r="B6" s="7" t="s">
        <v>8</v>
      </c>
      <c r="C6" s="7" t="s">
        <v>19</v>
      </c>
      <c r="D6" s="7" t="s">
        <v>10</v>
      </c>
      <c r="E6" s="7" t="s">
        <v>11</v>
      </c>
      <c r="F6" s="7" t="s">
        <v>12</v>
      </c>
      <c r="G6" s="7">
        <v>66.67</v>
      </c>
      <c r="H6" s="7">
        <f t="shared" si="0"/>
        <v>3</v>
      </c>
      <c r="I6" s="7">
        <f t="shared" si="1"/>
        <v>2</v>
      </c>
    </row>
    <row r="7" spans="1:9">
      <c r="A7" s="7" t="s">
        <v>20</v>
      </c>
      <c r="B7" s="7" t="s">
        <v>8</v>
      </c>
      <c r="C7" s="7" t="s">
        <v>10</v>
      </c>
      <c r="D7" s="7" t="s">
        <v>10</v>
      </c>
      <c r="E7" s="7"/>
      <c r="F7" s="7" t="s">
        <v>12</v>
      </c>
      <c r="G7" s="7">
        <v>66.67</v>
      </c>
      <c r="H7" s="7">
        <f t="shared" si="0"/>
        <v>3</v>
      </c>
      <c r="I7" s="7">
        <f t="shared" si="1"/>
        <v>2</v>
      </c>
    </row>
    <row r="8" spans="1:9">
      <c r="A8" s="7" t="s">
        <v>21</v>
      </c>
      <c r="B8" s="7" t="s">
        <v>8</v>
      </c>
      <c r="C8" s="7" t="s">
        <v>19</v>
      </c>
      <c r="D8" s="7" t="s">
        <v>10</v>
      </c>
      <c r="E8" s="7" t="s">
        <v>11</v>
      </c>
      <c r="F8" s="7" t="s">
        <v>12</v>
      </c>
      <c r="G8" s="7">
        <v>66.67</v>
      </c>
      <c r="H8" s="7">
        <f t="shared" si="0"/>
        <v>3</v>
      </c>
      <c r="I8" s="7">
        <f t="shared" si="1"/>
        <v>2</v>
      </c>
    </row>
    <row r="9" spans="1:9">
      <c r="A9" s="7" t="s">
        <v>22</v>
      </c>
      <c r="B9" s="7" t="s">
        <v>8</v>
      </c>
      <c r="C9" s="7" t="s">
        <v>23</v>
      </c>
      <c r="D9" s="7" t="s">
        <v>10</v>
      </c>
      <c r="E9" s="7" t="s">
        <v>11</v>
      </c>
      <c r="F9" s="7" t="s">
        <v>12</v>
      </c>
      <c r="G9" s="7">
        <v>66.67</v>
      </c>
      <c r="H9" s="7">
        <f t="shared" si="0"/>
        <v>3</v>
      </c>
      <c r="I9" s="7">
        <f t="shared" si="1"/>
        <v>2</v>
      </c>
    </row>
    <row r="10" spans="1:9">
      <c r="A10" s="7" t="s">
        <v>24</v>
      </c>
      <c r="B10" s="7" t="s">
        <v>8</v>
      </c>
      <c r="C10" s="7" t="s">
        <v>9</v>
      </c>
      <c r="D10" s="7" t="s">
        <v>10</v>
      </c>
      <c r="E10" s="7" t="s">
        <v>11</v>
      </c>
      <c r="F10" s="7" t="s">
        <v>12</v>
      </c>
      <c r="G10" s="7">
        <v>66.67</v>
      </c>
      <c r="H10" s="7">
        <f t="shared" si="0"/>
        <v>3</v>
      </c>
      <c r="I10" s="7">
        <f t="shared" si="1"/>
        <v>2</v>
      </c>
    </row>
    <row r="11" spans="1:9">
      <c r="A11" s="7" t="s">
        <v>25</v>
      </c>
      <c r="B11" s="7" t="s">
        <v>26</v>
      </c>
      <c r="C11" s="7" t="s">
        <v>27</v>
      </c>
      <c r="D11" s="7" t="s">
        <v>27</v>
      </c>
      <c r="E11" s="7"/>
      <c r="F11" s="7" t="s">
        <v>11</v>
      </c>
      <c r="G11" s="7">
        <v>75</v>
      </c>
      <c r="H11" s="7">
        <f t="shared" si="0"/>
        <v>4</v>
      </c>
      <c r="I11" s="7">
        <f t="shared" si="1"/>
        <v>3</v>
      </c>
    </row>
    <row r="12" spans="1:9">
      <c r="A12" s="7" t="s">
        <v>28</v>
      </c>
      <c r="B12" s="7" t="s">
        <v>26</v>
      </c>
      <c r="C12" s="7" t="s">
        <v>27</v>
      </c>
      <c r="D12" s="7" t="s">
        <v>27</v>
      </c>
      <c r="E12" s="7"/>
      <c r="F12" s="7" t="s">
        <v>11</v>
      </c>
      <c r="G12" s="7">
        <v>75</v>
      </c>
      <c r="H12" s="7">
        <f t="shared" si="0"/>
        <v>4</v>
      </c>
      <c r="I12" s="7">
        <f t="shared" si="1"/>
        <v>3</v>
      </c>
    </row>
    <row r="13" spans="1:9">
      <c r="A13" s="7" t="s">
        <v>29</v>
      </c>
      <c r="B13" s="7" t="s">
        <v>27</v>
      </c>
      <c r="C13" s="7" t="s">
        <v>27</v>
      </c>
      <c r="D13" s="7" t="s">
        <v>27</v>
      </c>
      <c r="E13" s="7"/>
      <c r="F13" s="7"/>
      <c r="G13" s="7">
        <v>100</v>
      </c>
      <c r="H13" s="7">
        <f t="shared" si="0"/>
        <v>3</v>
      </c>
      <c r="I13" s="7">
        <f t="shared" si="1"/>
        <v>3</v>
      </c>
    </row>
    <row r="14" spans="1:9">
      <c r="A14" s="7" t="s">
        <v>30</v>
      </c>
      <c r="B14" s="7" t="s">
        <v>26</v>
      </c>
      <c r="C14" s="7" t="s">
        <v>27</v>
      </c>
      <c r="D14" s="7" t="s">
        <v>27</v>
      </c>
      <c r="E14" s="7"/>
      <c r="F14" s="7" t="s">
        <v>11</v>
      </c>
      <c r="G14" s="7">
        <v>75</v>
      </c>
      <c r="H14" s="7">
        <f t="shared" si="0"/>
        <v>4</v>
      </c>
      <c r="I14" s="7">
        <f t="shared" si="1"/>
        <v>3</v>
      </c>
    </row>
    <row r="15" spans="1:9">
      <c r="A15" s="7" t="s">
        <v>31</v>
      </c>
      <c r="B15" s="7" t="s">
        <v>26</v>
      </c>
      <c r="C15" s="7" t="s">
        <v>27</v>
      </c>
      <c r="D15" s="7" t="s">
        <v>27</v>
      </c>
      <c r="E15" s="7"/>
      <c r="F15" s="7" t="s">
        <v>11</v>
      </c>
      <c r="G15" s="7">
        <v>75</v>
      </c>
      <c r="H15" s="7">
        <f t="shared" si="0"/>
        <v>4</v>
      </c>
      <c r="I15" s="7">
        <f t="shared" si="1"/>
        <v>3</v>
      </c>
    </row>
    <row r="16" spans="1:9">
      <c r="A16" s="7" t="s">
        <v>32</v>
      </c>
      <c r="B16" s="7" t="s">
        <v>26</v>
      </c>
      <c r="C16" s="7" t="s">
        <v>27</v>
      </c>
      <c r="D16" s="7" t="s">
        <v>27</v>
      </c>
      <c r="E16" s="7"/>
      <c r="F16" s="7" t="s">
        <v>11</v>
      </c>
      <c r="G16" s="7">
        <v>75</v>
      </c>
      <c r="H16" s="7">
        <f t="shared" si="0"/>
        <v>4</v>
      </c>
      <c r="I16" s="7">
        <f t="shared" si="1"/>
        <v>3</v>
      </c>
    </row>
    <row r="17" spans="1:9">
      <c r="A17" s="7" t="s">
        <v>33</v>
      </c>
      <c r="B17" s="7" t="s">
        <v>34</v>
      </c>
      <c r="C17" s="7" t="s">
        <v>27</v>
      </c>
      <c r="D17" s="7" t="s">
        <v>34</v>
      </c>
      <c r="E17" s="7" t="s">
        <v>35</v>
      </c>
      <c r="F17" s="7"/>
      <c r="G17" s="7">
        <v>100</v>
      </c>
      <c r="H17" s="7">
        <f t="shared" si="0"/>
        <v>2</v>
      </c>
      <c r="I17" s="7">
        <f t="shared" si="1"/>
        <v>2</v>
      </c>
    </row>
    <row r="18" spans="1:9">
      <c r="A18" s="7" t="s">
        <v>36</v>
      </c>
      <c r="B18" s="7" t="s">
        <v>37</v>
      </c>
      <c r="C18" s="7" t="s">
        <v>27</v>
      </c>
      <c r="D18" s="7" t="s">
        <v>34</v>
      </c>
      <c r="E18" s="7" t="s">
        <v>35</v>
      </c>
      <c r="F18" s="7" t="s">
        <v>11</v>
      </c>
      <c r="G18" s="7">
        <v>66.67</v>
      </c>
      <c r="H18" s="7">
        <f t="shared" si="0"/>
        <v>3</v>
      </c>
      <c r="I18" s="7">
        <f t="shared" si="1"/>
        <v>2</v>
      </c>
    </row>
    <row r="19" spans="1:9">
      <c r="A19" s="7" t="s">
        <v>38</v>
      </c>
      <c r="B19" s="7" t="s">
        <v>37</v>
      </c>
      <c r="C19" s="7" t="s">
        <v>27</v>
      </c>
      <c r="D19" s="7" t="s">
        <v>34</v>
      </c>
      <c r="E19" s="7" t="s">
        <v>35</v>
      </c>
      <c r="F19" s="7" t="s">
        <v>11</v>
      </c>
      <c r="G19" s="7">
        <v>66.67</v>
      </c>
      <c r="H19" s="7">
        <f t="shared" si="0"/>
        <v>3</v>
      </c>
      <c r="I19" s="7">
        <f t="shared" si="1"/>
        <v>2</v>
      </c>
    </row>
    <row r="20" spans="1:9">
      <c r="A20" s="7" t="s">
        <v>39</v>
      </c>
      <c r="B20" s="7" t="s">
        <v>40</v>
      </c>
      <c r="C20" s="7" t="s">
        <v>40</v>
      </c>
      <c r="D20" s="7" t="s">
        <v>40</v>
      </c>
      <c r="E20" s="7"/>
      <c r="F20" s="7"/>
      <c r="G20" s="7">
        <v>100</v>
      </c>
      <c r="H20" s="7">
        <f t="shared" si="0"/>
        <v>5</v>
      </c>
      <c r="I20" s="7">
        <f t="shared" si="1"/>
        <v>5</v>
      </c>
    </row>
    <row r="21" spans="1:9">
      <c r="A21" s="7" t="s">
        <v>41</v>
      </c>
      <c r="B21" s="7" t="s">
        <v>40</v>
      </c>
      <c r="C21" s="7" t="s">
        <v>40</v>
      </c>
      <c r="D21" s="7" t="s">
        <v>40</v>
      </c>
      <c r="E21" s="7"/>
      <c r="F21" s="7"/>
      <c r="G21" s="7">
        <v>100</v>
      </c>
      <c r="H21" s="7">
        <f t="shared" si="0"/>
        <v>5</v>
      </c>
      <c r="I21" s="7">
        <f t="shared" si="1"/>
        <v>5</v>
      </c>
    </row>
    <row r="22" spans="1:9">
      <c r="A22" s="7" t="s">
        <v>42</v>
      </c>
      <c r="B22" s="7" t="s">
        <v>40</v>
      </c>
      <c r="C22" s="7" t="s">
        <v>26</v>
      </c>
      <c r="D22" s="7" t="s">
        <v>26</v>
      </c>
      <c r="E22" s="7"/>
      <c r="F22" s="7" t="s">
        <v>43</v>
      </c>
      <c r="G22" s="7">
        <v>80</v>
      </c>
      <c r="H22" s="7">
        <f t="shared" si="0"/>
        <v>5</v>
      </c>
      <c r="I22" s="7">
        <f t="shared" si="1"/>
        <v>4</v>
      </c>
    </row>
    <row r="23" spans="1:9">
      <c r="A23" s="7" t="s">
        <v>44</v>
      </c>
      <c r="B23" s="7" t="s">
        <v>40</v>
      </c>
      <c r="C23" s="7" t="s">
        <v>26</v>
      </c>
      <c r="D23" s="7" t="s">
        <v>26</v>
      </c>
      <c r="E23" s="7"/>
      <c r="F23" s="7" t="s">
        <v>43</v>
      </c>
      <c r="G23" s="7">
        <v>80</v>
      </c>
      <c r="H23" s="7">
        <f t="shared" si="0"/>
        <v>5</v>
      </c>
      <c r="I23" s="7">
        <f t="shared" si="1"/>
        <v>4</v>
      </c>
    </row>
    <row r="24" spans="1:9">
      <c r="A24" s="7" t="s">
        <v>45</v>
      </c>
      <c r="B24" s="7" t="s">
        <v>40</v>
      </c>
      <c r="C24" s="7" t="s">
        <v>26</v>
      </c>
      <c r="D24" s="7" t="s">
        <v>26</v>
      </c>
      <c r="E24" s="7"/>
      <c r="F24" s="7" t="s">
        <v>43</v>
      </c>
      <c r="G24" s="7">
        <v>80</v>
      </c>
      <c r="H24" s="7">
        <f t="shared" si="0"/>
        <v>5</v>
      </c>
      <c r="I24" s="7">
        <f t="shared" si="1"/>
        <v>4</v>
      </c>
    </row>
    <row r="25" spans="1:9">
      <c r="A25" s="7" t="s">
        <v>46</v>
      </c>
      <c r="B25" s="7" t="s">
        <v>40</v>
      </c>
      <c r="C25" s="7" t="s">
        <v>26</v>
      </c>
      <c r="D25" s="7" t="s">
        <v>26</v>
      </c>
      <c r="E25" s="7"/>
      <c r="F25" s="7" t="s">
        <v>43</v>
      </c>
      <c r="G25" s="7">
        <v>80</v>
      </c>
      <c r="H25" s="7">
        <f t="shared" si="0"/>
        <v>5</v>
      </c>
      <c r="I25" s="7">
        <f t="shared" si="1"/>
        <v>4</v>
      </c>
    </row>
    <row r="26" spans="1:9">
      <c r="A26" s="7" t="s">
        <v>47</v>
      </c>
      <c r="B26" s="7" t="s">
        <v>48</v>
      </c>
      <c r="C26" s="7" t="s">
        <v>49</v>
      </c>
      <c r="D26" s="7" t="s">
        <v>49</v>
      </c>
      <c r="E26" s="7"/>
      <c r="F26" s="7" t="s">
        <v>50</v>
      </c>
      <c r="G26" s="7">
        <v>80</v>
      </c>
      <c r="H26" s="7">
        <f t="shared" si="0"/>
        <v>5</v>
      </c>
      <c r="I26" s="7">
        <f t="shared" si="1"/>
        <v>4</v>
      </c>
    </row>
    <row r="27" spans="1:9">
      <c r="A27" s="7" t="s">
        <v>51</v>
      </c>
      <c r="B27" s="7" t="s">
        <v>40</v>
      </c>
      <c r="C27" s="7" t="s">
        <v>26</v>
      </c>
      <c r="D27" s="7" t="s">
        <v>26</v>
      </c>
      <c r="E27" s="7"/>
      <c r="F27" s="7" t="s">
        <v>43</v>
      </c>
      <c r="G27" s="7">
        <v>80</v>
      </c>
      <c r="H27" s="7">
        <f t="shared" si="0"/>
        <v>5</v>
      </c>
      <c r="I27" s="7">
        <f t="shared" si="1"/>
        <v>4</v>
      </c>
    </row>
    <row r="28" spans="1:9">
      <c r="A28" s="7" t="s">
        <v>52</v>
      </c>
      <c r="B28" s="7" t="s">
        <v>40</v>
      </c>
      <c r="C28" s="7" t="s">
        <v>26</v>
      </c>
      <c r="D28" s="7" t="s">
        <v>26</v>
      </c>
      <c r="E28" s="7"/>
      <c r="F28" s="7" t="s">
        <v>43</v>
      </c>
      <c r="G28" s="7">
        <v>80</v>
      </c>
      <c r="H28" s="7">
        <f t="shared" si="0"/>
        <v>5</v>
      </c>
      <c r="I28" s="7">
        <f t="shared" si="1"/>
        <v>4</v>
      </c>
    </row>
    <row r="29" spans="1:9">
      <c r="A29" s="7" t="s">
        <v>53</v>
      </c>
      <c r="B29" s="7" t="s">
        <v>40</v>
      </c>
      <c r="C29" s="7" t="s">
        <v>40</v>
      </c>
      <c r="D29" s="7" t="s">
        <v>40</v>
      </c>
      <c r="E29" s="7"/>
      <c r="F29" s="7"/>
      <c r="G29" s="7">
        <v>100</v>
      </c>
      <c r="H29" s="7">
        <f t="shared" si="0"/>
        <v>5</v>
      </c>
      <c r="I29" s="7">
        <f t="shared" si="1"/>
        <v>5</v>
      </c>
    </row>
    <row r="30" spans="1:9">
      <c r="A30" s="7" t="s">
        <v>54</v>
      </c>
      <c r="B30" s="7" t="s">
        <v>40</v>
      </c>
      <c r="C30" s="7" t="s">
        <v>26</v>
      </c>
      <c r="D30" s="7" t="s">
        <v>26</v>
      </c>
      <c r="E30" s="7"/>
      <c r="F30" s="7" t="s">
        <v>43</v>
      </c>
      <c r="G30" s="7">
        <v>80</v>
      </c>
      <c r="H30" s="7">
        <f t="shared" si="0"/>
        <v>5</v>
      </c>
      <c r="I30" s="7">
        <f t="shared" si="1"/>
        <v>4</v>
      </c>
    </row>
    <row r="31" spans="1:9">
      <c r="A31" s="7" t="s">
        <v>55</v>
      </c>
      <c r="B31" s="7" t="s">
        <v>40</v>
      </c>
      <c r="C31" s="7" t="s">
        <v>40</v>
      </c>
      <c r="D31" s="7" t="s">
        <v>40</v>
      </c>
      <c r="E31" s="7"/>
      <c r="F31" s="7"/>
      <c r="G31" s="7">
        <v>100</v>
      </c>
      <c r="H31" s="7">
        <f t="shared" si="0"/>
        <v>5</v>
      </c>
      <c r="I31" s="7">
        <f t="shared" si="1"/>
        <v>5</v>
      </c>
    </row>
    <row r="32" spans="1:9">
      <c r="A32" s="7" t="s">
        <v>56</v>
      </c>
      <c r="B32" s="7" t="s">
        <v>40</v>
      </c>
      <c r="C32" s="7" t="s">
        <v>26</v>
      </c>
      <c r="D32" s="7" t="s">
        <v>26</v>
      </c>
      <c r="E32" s="7"/>
      <c r="F32" s="7" t="s">
        <v>43</v>
      </c>
      <c r="G32" s="7">
        <v>80</v>
      </c>
      <c r="H32" s="7">
        <f t="shared" si="0"/>
        <v>5</v>
      </c>
      <c r="I32" s="7">
        <f t="shared" si="1"/>
        <v>4</v>
      </c>
    </row>
    <row r="33" spans="1:9">
      <c r="A33" s="7" t="s">
        <v>57</v>
      </c>
      <c r="B33" s="7" t="s">
        <v>40</v>
      </c>
      <c r="C33" s="7" t="s">
        <v>26</v>
      </c>
      <c r="D33" s="7" t="s">
        <v>26</v>
      </c>
      <c r="E33" s="7"/>
      <c r="F33" s="7" t="s">
        <v>43</v>
      </c>
      <c r="G33" s="7">
        <v>80</v>
      </c>
      <c r="H33" s="7">
        <f t="shared" si="0"/>
        <v>5</v>
      </c>
      <c r="I33" s="7">
        <f t="shared" si="1"/>
        <v>4</v>
      </c>
    </row>
    <row r="34" spans="1:9">
      <c r="A34" s="7" t="s">
        <v>58</v>
      </c>
      <c r="B34" s="7" t="s">
        <v>59</v>
      </c>
      <c r="C34" s="7" t="s">
        <v>60</v>
      </c>
      <c r="D34" s="7" t="s">
        <v>61</v>
      </c>
      <c r="E34" s="7"/>
      <c r="F34" s="7"/>
      <c r="G34" s="7">
        <v>100</v>
      </c>
      <c r="H34" s="7">
        <f t="shared" si="0"/>
        <v>4</v>
      </c>
      <c r="I34" s="7">
        <f t="shared" si="1"/>
        <v>4</v>
      </c>
    </row>
    <row r="35" spans="1:9">
      <c r="A35" s="7" t="s">
        <v>62</v>
      </c>
      <c r="B35" s="7" t="s">
        <v>59</v>
      </c>
      <c r="C35" s="7" t="s">
        <v>63</v>
      </c>
      <c r="D35" s="7" t="s">
        <v>64</v>
      </c>
      <c r="E35" s="7" t="s">
        <v>12</v>
      </c>
      <c r="F35" s="7" t="s">
        <v>65</v>
      </c>
      <c r="G35" s="7">
        <v>75</v>
      </c>
      <c r="H35" s="7">
        <f t="shared" si="0"/>
        <v>4</v>
      </c>
      <c r="I35" s="7">
        <f t="shared" si="1"/>
        <v>3</v>
      </c>
    </row>
    <row r="36" spans="1:9">
      <c r="A36" s="7" t="s">
        <v>66</v>
      </c>
      <c r="B36" s="7" t="s">
        <v>59</v>
      </c>
      <c r="C36" s="7" t="s">
        <v>60</v>
      </c>
      <c r="D36" s="7" t="s">
        <v>61</v>
      </c>
      <c r="E36" s="7"/>
      <c r="F36" s="7"/>
      <c r="G36" s="7">
        <v>100</v>
      </c>
      <c r="H36" s="7">
        <f t="shared" si="0"/>
        <v>4</v>
      </c>
      <c r="I36" s="7">
        <f t="shared" si="1"/>
        <v>4</v>
      </c>
    </row>
    <row r="37" spans="1:9">
      <c r="A37" s="7" t="s">
        <v>67</v>
      </c>
      <c r="B37" s="7" t="s">
        <v>68</v>
      </c>
      <c r="C37" s="7" t="s">
        <v>61</v>
      </c>
      <c r="D37" s="7" t="s">
        <v>69</v>
      </c>
      <c r="E37" s="7"/>
      <c r="F37" s="7"/>
      <c r="G37" s="7">
        <v>100</v>
      </c>
      <c r="H37" s="7">
        <f t="shared" si="0"/>
        <v>4</v>
      </c>
      <c r="I37" s="7">
        <f t="shared" si="1"/>
        <v>4</v>
      </c>
    </row>
    <row r="38" spans="1:9">
      <c r="A38" s="7" t="s">
        <v>70</v>
      </c>
      <c r="B38" s="7" t="s">
        <v>59</v>
      </c>
      <c r="C38" s="7" t="s">
        <v>60</v>
      </c>
      <c r="D38" s="7" t="s">
        <v>61</v>
      </c>
      <c r="E38" s="7"/>
      <c r="F38" s="7"/>
      <c r="G38" s="7">
        <v>100</v>
      </c>
      <c r="H38" s="7">
        <f t="shared" si="0"/>
        <v>4</v>
      </c>
      <c r="I38" s="7">
        <f t="shared" si="1"/>
        <v>4</v>
      </c>
    </row>
    <row r="39" spans="1:9">
      <c r="A39" s="7" t="s">
        <v>71</v>
      </c>
      <c r="B39" s="7" t="s">
        <v>68</v>
      </c>
      <c r="C39" s="7" t="s">
        <v>60</v>
      </c>
      <c r="D39" s="7" t="s">
        <v>69</v>
      </c>
      <c r="E39" s="7"/>
      <c r="F39" s="7"/>
      <c r="G39" s="7">
        <v>100</v>
      </c>
      <c r="H39" s="7">
        <f t="shared" si="0"/>
        <v>4</v>
      </c>
      <c r="I39" s="7">
        <f t="shared" si="1"/>
        <v>4</v>
      </c>
    </row>
    <row r="40" spans="1:9">
      <c r="A40" s="7" t="s">
        <v>72</v>
      </c>
      <c r="B40" s="7" t="s">
        <v>59</v>
      </c>
      <c r="C40" s="7" t="s">
        <v>73</v>
      </c>
      <c r="D40" s="7" t="s">
        <v>74</v>
      </c>
      <c r="E40" s="7"/>
      <c r="F40" s="7" t="s">
        <v>75</v>
      </c>
      <c r="G40" s="7">
        <v>75</v>
      </c>
      <c r="H40" s="7">
        <f t="shared" si="0"/>
        <v>4</v>
      </c>
      <c r="I40" s="7">
        <f t="shared" si="1"/>
        <v>3</v>
      </c>
    </row>
    <row r="41" spans="1:9">
      <c r="A41" s="7" t="s">
        <v>76</v>
      </c>
      <c r="B41" s="7" t="s">
        <v>63</v>
      </c>
      <c r="C41" s="7" t="s">
        <v>77</v>
      </c>
      <c r="D41" s="7" t="s">
        <v>78</v>
      </c>
      <c r="E41" s="7"/>
      <c r="F41" s="7" t="s">
        <v>79</v>
      </c>
      <c r="G41" s="7">
        <v>50</v>
      </c>
      <c r="H41" s="7">
        <f t="shared" si="0"/>
        <v>4</v>
      </c>
      <c r="I41" s="7">
        <f t="shared" si="1"/>
        <v>2</v>
      </c>
    </row>
    <row r="42" spans="1:9">
      <c r="A42" s="7" t="s">
        <v>80</v>
      </c>
      <c r="B42" s="7" t="s">
        <v>81</v>
      </c>
      <c r="C42" s="7" t="s">
        <v>82</v>
      </c>
      <c r="D42" s="7" t="s">
        <v>83</v>
      </c>
      <c r="E42" s="7" t="s">
        <v>84</v>
      </c>
      <c r="F42" s="7"/>
      <c r="G42" s="7">
        <v>100</v>
      </c>
      <c r="H42" s="7">
        <f t="shared" si="0"/>
        <v>3</v>
      </c>
      <c r="I42" s="7">
        <f t="shared" si="1"/>
        <v>3</v>
      </c>
    </row>
    <row r="43" spans="1:9">
      <c r="A43" s="7" t="s">
        <v>85</v>
      </c>
      <c r="B43" s="7" t="s">
        <v>63</v>
      </c>
      <c r="C43" s="7" t="s">
        <v>86</v>
      </c>
      <c r="D43" s="7" t="s">
        <v>87</v>
      </c>
      <c r="E43" s="7" t="s">
        <v>11</v>
      </c>
      <c r="F43" s="7" t="s">
        <v>88</v>
      </c>
      <c r="G43" s="7">
        <v>75</v>
      </c>
      <c r="H43" s="7">
        <f t="shared" si="0"/>
        <v>4</v>
      </c>
      <c r="I43" s="7">
        <f t="shared" si="1"/>
        <v>3</v>
      </c>
    </row>
    <row r="44" spans="1:9">
      <c r="A44" s="7" t="s">
        <v>89</v>
      </c>
      <c r="B44" s="7" t="s">
        <v>90</v>
      </c>
      <c r="C44" s="7" t="s">
        <v>91</v>
      </c>
      <c r="D44" s="7" t="s">
        <v>92</v>
      </c>
      <c r="E44" s="7" t="s">
        <v>93</v>
      </c>
      <c r="F44" s="7" t="s">
        <v>94</v>
      </c>
      <c r="G44" s="7">
        <v>50</v>
      </c>
      <c r="H44" s="7">
        <f t="shared" si="0"/>
        <v>4</v>
      </c>
      <c r="I44" s="7">
        <f t="shared" si="1"/>
        <v>2</v>
      </c>
    </row>
    <row r="45" spans="1:9">
      <c r="A45" s="7" t="s">
        <v>95</v>
      </c>
      <c r="B45" s="7" t="s">
        <v>90</v>
      </c>
      <c r="C45" s="7" t="s">
        <v>96</v>
      </c>
      <c r="D45" s="7" t="s">
        <v>83</v>
      </c>
      <c r="E45" s="7" t="s">
        <v>97</v>
      </c>
      <c r="F45" s="7" t="s">
        <v>98</v>
      </c>
      <c r="G45" s="7">
        <v>75</v>
      </c>
      <c r="H45" s="7">
        <f t="shared" si="0"/>
        <v>4</v>
      </c>
      <c r="I45" s="7">
        <f t="shared" si="1"/>
        <v>3</v>
      </c>
    </row>
    <row r="46" spans="1:9">
      <c r="A46" s="7" t="s">
        <v>99</v>
      </c>
      <c r="B46" s="7" t="s">
        <v>63</v>
      </c>
      <c r="C46" s="7" t="s">
        <v>100</v>
      </c>
      <c r="D46" s="7" t="s">
        <v>64</v>
      </c>
      <c r="E46" s="7"/>
      <c r="F46" s="7" t="s">
        <v>12</v>
      </c>
      <c r="G46" s="7">
        <v>75</v>
      </c>
      <c r="H46" s="7">
        <f t="shared" si="0"/>
        <v>4</v>
      </c>
      <c r="I46" s="7">
        <f t="shared" si="1"/>
        <v>3</v>
      </c>
    </row>
    <row r="47" spans="1:9">
      <c r="A47" s="7" t="s">
        <v>101</v>
      </c>
      <c r="B47" s="7" t="s">
        <v>102</v>
      </c>
      <c r="C47" s="7" t="s">
        <v>103</v>
      </c>
      <c r="D47" s="7" t="s">
        <v>96</v>
      </c>
      <c r="E47" s="7"/>
      <c r="F47" s="7" t="s">
        <v>98</v>
      </c>
      <c r="G47" s="7">
        <v>80</v>
      </c>
      <c r="H47" s="7">
        <f t="shared" si="0"/>
        <v>5</v>
      </c>
      <c r="I47" s="7">
        <f t="shared" si="1"/>
        <v>4</v>
      </c>
    </row>
    <row r="48" spans="1:9">
      <c r="A48" s="7" t="s">
        <v>104</v>
      </c>
      <c r="B48" s="7" t="s">
        <v>63</v>
      </c>
      <c r="C48" s="7" t="s">
        <v>64</v>
      </c>
      <c r="D48" s="7" t="s">
        <v>100</v>
      </c>
      <c r="E48" s="7"/>
      <c r="F48" s="7" t="s">
        <v>12</v>
      </c>
      <c r="G48" s="7">
        <v>75</v>
      </c>
      <c r="H48" s="7">
        <f t="shared" si="0"/>
        <v>4</v>
      </c>
      <c r="I48" s="7">
        <f t="shared" si="1"/>
        <v>3</v>
      </c>
    </row>
    <row r="49" spans="1:9">
      <c r="A49" s="7" t="s">
        <v>105</v>
      </c>
      <c r="B49" s="7" t="s">
        <v>63</v>
      </c>
      <c r="C49" s="7" t="s">
        <v>77</v>
      </c>
      <c r="D49" s="7" t="s">
        <v>78</v>
      </c>
      <c r="E49" s="7"/>
      <c r="F49" s="7" t="s">
        <v>79</v>
      </c>
      <c r="G49" s="7">
        <v>50</v>
      </c>
      <c r="H49" s="7">
        <f t="shared" si="0"/>
        <v>4</v>
      </c>
      <c r="I49" s="7">
        <f t="shared" si="1"/>
        <v>2</v>
      </c>
    </row>
    <row r="50" spans="1:9">
      <c r="A50" s="7" t="s">
        <v>106</v>
      </c>
      <c r="B50" s="7" t="s">
        <v>63</v>
      </c>
      <c r="C50" s="7" t="s">
        <v>96</v>
      </c>
      <c r="D50" s="7" t="s">
        <v>96</v>
      </c>
      <c r="E50" s="7"/>
      <c r="F50" s="7"/>
      <c r="G50" s="7">
        <v>100</v>
      </c>
      <c r="H50" s="7">
        <f t="shared" si="0"/>
        <v>4</v>
      </c>
      <c r="I50" s="7">
        <f t="shared" si="1"/>
        <v>4</v>
      </c>
    </row>
    <row r="51" spans="1:9">
      <c r="A51" s="7" t="s">
        <v>107</v>
      </c>
      <c r="B51" s="7" t="s">
        <v>108</v>
      </c>
      <c r="C51" s="7" t="s">
        <v>64</v>
      </c>
      <c r="D51" s="7" t="s">
        <v>100</v>
      </c>
      <c r="E51" s="7"/>
      <c r="F51" s="7" t="s">
        <v>109</v>
      </c>
      <c r="G51" s="7">
        <v>60</v>
      </c>
      <c r="H51" s="7">
        <f t="shared" si="0"/>
        <v>5</v>
      </c>
      <c r="I51" s="7">
        <f t="shared" si="1"/>
        <v>3</v>
      </c>
    </row>
    <row r="52" spans="1:9">
      <c r="A52" s="7" t="s">
        <v>110</v>
      </c>
      <c r="B52" s="7" t="s">
        <v>108</v>
      </c>
      <c r="C52" s="7" t="s">
        <v>64</v>
      </c>
      <c r="D52" s="7" t="s">
        <v>100</v>
      </c>
      <c r="E52" s="7"/>
      <c r="F52" s="7" t="s">
        <v>109</v>
      </c>
      <c r="G52" s="7">
        <v>60</v>
      </c>
      <c r="H52" s="7">
        <f t="shared" si="0"/>
        <v>5</v>
      </c>
      <c r="I52" s="7">
        <f t="shared" si="1"/>
        <v>3</v>
      </c>
    </row>
    <row r="53" spans="1:9">
      <c r="A53" s="7" t="s">
        <v>111</v>
      </c>
      <c r="B53" s="7" t="s">
        <v>108</v>
      </c>
      <c r="C53" s="7" t="s">
        <v>64</v>
      </c>
      <c r="D53" s="7" t="s">
        <v>100</v>
      </c>
      <c r="E53" s="7"/>
      <c r="F53" s="7" t="s">
        <v>109</v>
      </c>
      <c r="G53" s="7">
        <v>60</v>
      </c>
      <c r="H53" s="7">
        <f t="shared" si="0"/>
        <v>5</v>
      </c>
      <c r="I53" s="7">
        <f t="shared" si="1"/>
        <v>3</v>
      </c>
    </row>
    <row r="54" spans="1:9">
      <c r="A54" s="7" t="s">
        <v>112</v>
      </c>
      <c r="B54" s="7" t="s">
        <v>113</v>
      </c>
      <c r="C54" s="7" t="s">
        <v>64</v>
      </c>
      <c r="D54" s="7" t="s">
        <v>92</v>
      </c>
      <c r="E54" s="7" t="s">
        <v>97</v>
      </c>
      <c r="F54" s="7" t="s">
        <v>65</v>
      </c>
      <c r="G54" s="7">
        <v>66.67</v>
      </c>
      <c r="H54" s="7">
        <f t="shared" si="0"/>
        <v>3</v>
      </c>
      <c r="I54" s="7">
        <f t="shared" si="1"/>
        <v>2</v>
      </c>
    </row>
    <row r="55" spans="1:9">
      <c r="A55" s="7" t="s">
        <v>114</v>
      </c>
      <c r="B55" s="7" t="s">
        <v>108</v>
      </c>
      <c r="C55" s="7" t="s">
        <v>64</v>
      </c>
      <c r="D55" s="7" t="s">
        <v>100</v>
      </c>
      <c r="E55" s="7"/>
      <c r="F55" s="7" t="s">
        <v>109</v>
      </c>
      <c r="G55" s="7">
        <v>60</v>
      </c>
      <c r="H55" s="7">
        <f t="shared" si="0"/>
        <v>5</v>
      </c>
      <c r="I55" s="7">
        <f t="shared" si="1"/>
        <v>3</v>
      </c>
    </row>
    <row r="56" spans="1:9">
      <c r="A56" s="7" t="s">
        <v>115</v>
      </c>
      <c r="B56" s="7" t="s">
        <v>108</v>
      </c>
      <c r="C56" s="7" t="s">
        <v>91</v>
      </c>
      <c r="D56" s="7" t="s">
        <v>64</v>
      </c>
      <c r="E56" s="7" t="s">
        <v>11</v>
      </c>
      <c r="F56" s="7" t="s">
        <v>109</v>
      </c>
      <c r="G56" s="7">
        <v>60</v>
      </c>
      <c r="H56" s="7">
        <f t="shared" si="0"/>
        <v>5</v>
      </c>
      <c r="I56" s="7">
        <f t="shared" si="1"/>
        <v>3</v>
      </c>
    </row>
    <row r="57" spans="1:9">
      <c r="A57" s="7" t="s">
        <v>116</v>
      </c>
      <c r="B57" s="7" t="s">
        <v>108</v>
      </c>
      <c r="C57" s="7" t="s">
        <v>91</v>
      </c>
      <c r="D57" s="7" t="s">
        <v>64</v>
      </c>
      <c r="E57" s="7" t="s">
        <v>11</v>
      </c>
      <c r="F57" s="7" t="s">
        <v>109</v>
      </c>
      <c r="G57" s="7">
        <v>60</v>
      </c>
      <c r="H57" s="7">
        <f t="shared" si="0"/>
        <v>5</v>
      </c>
      <c r="I57" s="7">
        <f t="shared" si="1"/>
        <v>3</v>
      </c>
    </row>
    <row r="58" spans="1:9">
      <c r="A58" s="7" t="s">
        <v>117</v>
      </c>
      <c r="B58" s="7" t="s">
        <v>108</v>
      </c>
      <c r="C58" s="7" t="s">
        <v>100</v>
      </c>
      <c r="D58" s="7" t="s">
        <v>64</v>
      </c>
      <c r="E58" s="7"/>
      <c r="F58" s="7" t="s">
        <v>109</v>
      </c>
      <c r="G58" s="7">
        <v>60</v>
      </c>
      <c r="H58" s="7">
        <f t="shared" si="0"/>
        <v>5</v>
      </c>
      <c r="I58" s="7">
        <f t="shared" si="1"/>
        <v>3</v>
      </c>
    </row>
    <row r="59" spans="1:9">
      <c r="A59" s="7" t="s">
        <v>118</v>
      </c>
      <c r="B59" s="7" t="s">
        <v>108</v>
      </c>
      <c r="C59" s="7" t="s">
        <v>100</v>
      </c>
      <c r="D59" s="7" t="s">
        <v>64</v>
      </c>
      <c r="E59" s="7"/>
      <c r="F59" s="7" t="s">
        <v>109</v>
      </c>
      <c r="G59" s="7">
        <v>60</v>
      </c>
      <c r="H59" s="7">
        <f t="shared" si="0"/>
        <v>5</v>
      </c>
      <c r="I59" s="7">
        <f t="shared" si="1"/>
        <v>3</v>
      </c>
    </row>
    <row r="60" spans="1:9">
      <c r="A60" s="7" t="s">
        <v>119</v>
      </c>
      <c r="B60" s="7" t="s">
        <v>108</v>
      </c>
      <c r="C60" s="7" t="s">
        <v>120</v>
      </c>
      <c r="D60" s="7" t="s">
        <v>64</v>
      </c>
      <c r="E60" s="7" t="s">
        <v>121</v>
      </c>
      <c r="F60" s="7" t="s">
        <v>109</v>
      </c>
      <c r="G60" s="7">
        <v>60</v>
      </c>
      <c r="H60" s="7">
        <f t="shared" si="0"/>
        <v>5</v>
      </c>
      <c r="I60" s="7">
        <f t="shared" si="1"/>
        <v>3</v>
      </c>
    </row>
    <row r="61" spans="1:9">
      <c r="A61" s="7" t="s">
        <v>122</v>
      </c>
      <c r="B61" s="7" t="s">
        <v>108</v>
      </c>
      <c r="C61" s="7" t="s">
        <v>100</v>
      </c>
      <c r="D61" s="7" t="s">
        <v>64</v>
      </c>
      <c r="E61" s="7"/>
      <c r="F61" s="7" t="s">
        <v>109</v>
      </c>
      <c r="G61" s="7">
        <v>60</v>
      </c>
      <c r="H61" s="7">
        <f t="shared" si="0"/>
        <v>5</v>
      </c>
      <c r="I61" s="7">
        <f t="shared" si="1"/>
        <v>3</v>
      </c>
    </row>
    <row r="62" spans="1:9">
      <c r="A62" s="7" t="s">
        <v>123</v>
      </c>
      <c r="B62" s="7" t="s">
        <v>108</v>
      </c>
      <c r="C62" s="7" t="s">
        <v>91</v>
      </c>
      <c r="D62" s="7" t="s">
        <v>64</v>
      </c>
      <c r="E62" s="7" t="s">
        <v>11</v>
      </c>
      <c r="F62" s="7" t="s">
        <v>109</v>
      </c>
      <c r="G62" s="7">
        <v>60</v>
      </c>
      <c r="H62" s="7">
        <f t="shared" si="0"/>
        <v>5</v>
      </c>
      <c r="I62" s="7">
        <f t="shared" si="1"/>
        <v>3</v>
      </c>
    </row>
    <row r="63" spans="1:9">
      <c r="A63" s="7" t="s">
        <v>124</v>
      </c>
      <c r="B63" s="7" t="s">
        <v>108</v>
      </c>
      <c r="C63" s="7" t="s">
        <v>125</v>
      </c>
      <c r="D63" s="7" t="s">
        <v>100</v>
      </c>
      <c r="E63" s="7" t="s">
        <v>126</v>
      </c>
      <c r="F63" s="7" t="s">
        <v>109</v>
      </c>
      <c r="G63" s="7">
        <v>60</v>
      </c>
      <c r="H63" s="7">
        <f t="shared" si="0"/>
        <v>5</v>
      </c>
      <c r="I63" s="7">
        <f t="shared" si="1"/>
        <v>3</v>
      </c>
    </row>
    <row r="64" spans="1:9">
      <c r="A64" s="7" t="s">
        <v>127</v>
      </c>
      <c r="B64" s="7" t="s">
        <v>128</v>
      </c>
      <c r="C64" s="7" t="s">
        <v>129</v>
      </c>
      <c r="D64" s="7" t="s">
        <v>130</v>
      </c>
      <c r="E64" s="7" t="s">
        <v>88</v>
      </c>
      <c r="F64" s="7"/>
      <c r="G64" s="7">
        <v>100</v>
      </c>
      <c r="H64" s="7">
        <f t="shared" si="0"/>
        <v>2</v>
      </c>
      <c r="I64" s="7">
        <f t="shared" si="1"/>
        <v>2</v>
      </c>
    </row>
    <row r="65" spans="1:9">
      <c r="A65" s="7" t="s">
        <v>131</v>
      </c>
      <c r="B65" s="7" t="s">
        <v>128</v>
      </c>
      <c r="C65" s="7" t="s">
        <v>128</v>
      </c>
      <c r="D65" s="7" t="s">
        <v>130</v>
      </c>
      <c r="E65" s="7"/>
      <c r="F65" s="7"/>
      <c r="G65" s="7">
        <v>100</v>
      </c>
      <c r="H65" s="7">
        <f t="shared" si="0"/>
        <v>2</v>
      </c>
      <c r="I65" s="7">
        <f t="shared" si="1"/>
        <v>2</v>
      </c>
    </row>
    <row r="66" spans="1:9">
      <c r="A66" s="7" t="s">
        <v>132</v>
      </c>
      <c r="B66" s="7" t="s">
        <v>130</v>
      </c>
      <c r="C66" s="7" t="s">
        <v>133</v>
      </c>
      <c r="D66" s="7" t="s">
        <v>128</v>
      </c>
      <c r="E66" s="7" t="s">
        <v>88</v>
      </c>
      <c r="F66" s="7"/>
      <c r="G66" s="7">
        <v>100</v>
      </c>
      <c r="H66" s="7">
        <f t="shared" ref="H66:H129" si="2">IF(B66="",0,LEN(B66)-LEN(SUBSTITUTE(B66,",",""))+1)</f>
        <v>2</v>
      </c>
      <c r="I66" s="7">
        <f t="shared" ref="I66:I129" si="3">IF(D66="",0,LEN(D66)-LEN(SUBSTITUTE(D66,",",""))+1)</f>
        <v>2</v>
      </c>
    </row>
    <row r="67" spans="1:9">
      <c r="A67" s="7" t="s">
        <v>134</v>
      </c>
      <c r="B67" s="7" t="s">
        <v>128</v>
      </c>
      <c r="C67" s="7" t="s">
        <v>128</v>
      </c>
      <c r="D67" s="7" t="s">
        <v>130</v>
      </c>
      <c r="E67" s="7"/>
      <c r="F67" s="7"/>
      <c r="G67" s="7">
        <v>100</v>
      </c>
      <c r="H67" s="7">
        <f t="shared" si="2"/>
        <v>2</v>
      </c>
      <c r="I67" s="7">
        <f t="shared" si="3"/>
        <v>2</v>
      </c>
    </row>
    <row r="68" spans="1:9">
      <c r="A68" s="7" t="s">
        <v>135</v>
      </c>
      <c r="B68" s="7" t="s">
        <v>128</v>
      </c>
      <c r="C68" s="7" t="s">
        <v>133</v>
      </c>
      <c r="D68" s="7" t="s">
        <v>130</v>
      </c>
      <c r="E68" s="7" t="s">
        <v>88</v>
      </c>
      <c r="F68" s="7"/>
      <c r="G68" s="7">
        <v>100</v>
      </c>
      <c r="H68" s="7">
        <f t="shared" si="2"/>
        <v>2</v>
      </c>
      <c r="I68" s="7">
        <f t="shared" si="3"/>
        <v>2</v>
      </c>
    </row>
    <row r="69" spans="1:9">
      <c r="A69" s="7" t="s">
        <v>136</v>
      </c>
      <c r="B69" s="7" t="s">
        <v>128</v>
      </c>
      <c r="C69" s="7" t="s">
        <v>133</v>
      </c>
      <c r="D69" s="7" t="s">
        <v>130</v>
      </c>
      <c r="E69" s="7" t="s">
        <v>88</v>
      </c>
      <c r="F69" s="7"/>
      <c r="G69" s="7">
        <v>100</v>
      </c>
      <c r="H69" s="7">
        <f t="shared" si="2"/>
        <v>2</v>
      </c>
      <c r="I69" s="7">
        <f t="shared" si="3"/>
        <v>2</v>
      </c>
    </row>
    <row r="70" spans="1:9">
      <c r="A70" s="7" t="s">
        <v>137</v>
      </c>
      <c r="B70" s="7" t="s">
        <v>128</v>
      </c>
      <c r="C70" s="7" t="s">
        <v>128</v>
      </c>
      <c r="D70" s="7" t="s">
        <v>130</v>
      </c>
      <c r="E70" s="7"/>
      <c r="F70" s="7"/>
      <c r="G70" s="7">
        <v>100</v>
      </c>
      <c r="H70" s="7">
        <f t="shared" si="2"/>
        <v>2</v>
      </c>
      <c r="I70" s="7">
        <f t="shared" si="3"/>
        <v>2</v>
      </c>
    </row>
    <row r="71" spans="1:9">
      <c r="A71" s="7" t="s">
        <v>138</v>
      </c>
      <c r="B71" s="7" t="s">
        <v>128</v>
      </c>
      <c r="C71" s="7" t="s">
        <v>128</v>
      </c>
      <c r="D71" s="7" t="s">
        <v>130</v>
      </c>
      <c r="E71" s="7"/>
      <c r="F71" s="7"/>
      <c r="G71" s="7">
        <v>100</v>
      </c>
      <c r="H71" s="7">
        <f t="shared" si="2"/>
        <v>2</v>
      </c>
      <c r="I71" s="7">
        <f t="shared" si="3"/>
        <v>2</v>
      </c>
    </row>
    <row r="72" spans="1:9">
      <c r="A72" s="7" t="s">
        <v>139</v>
      </c>
      <c r="B72" s="7" t="s">
        <v>128</v>
      </c>
      <c r="C72" s="7" t="s">
        <v>130</v>
      </c>
      <c r="D72" s="7" t="s">
        <v>130</v>
      </c>
      <c r="E72" s="7"/>
      <c r="F72" s="7"/>
      <c r="G72" s="7">
        <v>100</v>
      </c>
      <c r="H72" s="7">
        <f t="shared" si="2"/>
        <v>2</v>
      </c>
      <c r="I72" s="7">
        <f t="shared" si="3"/>
        <v>2</v>
      </c>
    </row>
    <row r="73" spans="1:9">
      <c r="A73" s="7" t="s">
        <v>140</v>
      </c>
      <c r="B73" s="7" t="s">
        <v>128</v>
      </c>
      <c r="C73" s="7" t="s">
        <v>129</v>
      </c>
      <c r="D73" s="7" t="s">
        <v>130</v>
      </c>
      <c r="E73" s="7" t="s">
        <v>88</v>
      </c>
      <c r="F73" s="7"/>
      <c r="G73" s="7">
        <v>100</v>
      </c>
      <c r="H73" s="7">
        <f t="shared" si="2"/>
        <v>2</v>
      </c>
      <c r="I73" s="7">
        <f t="shared" si="3"/>
        <v>2</v>
      </c>
    </row>
    <row r="74" spans="1:9">
      <c r="A74" s="7" t="s">
        <v>141</v>
      </c>
      <c r="B74" s="7" t="s">
        <v>128</v>
      </c>
      <c r="C74" s="7" t="s">
        <v>130</v>
      </c>
      <c r="D74" s="7" t="s">
        <v>130</v>
      </c>
      <c r="E74" s="7"/>
      <c r="F74" s="7"/>
      <c r="G74" s="7">
        <v>100</v>
      </c>
      <c r="H74" s="7">
        <f t="shared" si="2"/>
        <v>2</v>
      </c>
      <c r="I74" s="7">
        <f t="shared" si="3"/>
        <v>2</v>
      </c>
    </row>
    <row r="75" spans="1:9">
      <c r="A75" s="7" t="s">
        <v>142</v>
      </c>
      <c r="B75" s="7" t="s">
        <v>128</v>
      </c>
      <c r="C75" s="7" t="s">
        <v>130</v>
      </c>
      <c r="D75" s="7" t="s">
        <v>130</v>
      </c>
      <c r="E75" s="7"/>
      <c r="F75" s="7"/>
      <c r="G75" s="7">
        <v>100</v>
      </c>
      <c r="H75" s="7">
        <f t="shared" si="2"/>
        <v>2</v>
      </c>
      <c r="I75" s="7">
        <f t="shared" si="3"/>
        <v>2</v>
      </c>
    </row>
    <row r="76" spans="1:9">
      <c r="A76" s="7" t="s">
        <v>143</v>
      </c>
      <c r="B76" s="7" t="s">
        <v>128</v>
      </c>
      <c r="C76" s="7" t="s">
        <v>130</v>
      </c>
      <c r="D76" s="7" t="s">
        <v>130</v>
      </c>
      <c r="E76" s="7"/>
      <c r="F76" s="7"/>
      <c r="G76" s="7">
        <v>100</v>
      </c>
      <c r="H76" s="7">
        <f t="shared" si="2"/>
        <v>2</v>
      </c>
      <c r="I76" s="7">
        <f t="shared" si="3"/>
        <v>2</v>
      </c>
    </row>
    <row r="77" spans="1:9">
      <c r="A77" s="7" t="s">
        <v>144</v>
      </c>
      <c r="B77" s="7" t="s">
        <v>128</v>
      </c>
      <c r="C77" s="7" t="s">
        <v>130</v>
      </c>
      <c r="D77" s="7" t="s">
        <v>130</v>
      </c>
      <c r="E77" s="7"/>
      <c r="F77" s="7"/>
      <c r="G77" s="7">
        <v>100</v>
      </c>
      <c r="H77" s="7">
        <f t="shared" si="2"/>
        <v>2</v>
      </c>
      <c r="I77" s="7">
        <f t="shared" si="3"/>
        <v>2</v>
      </c>
    </row>
    <row r="78" spans="1:9">
      <c r="A78" s="7" t="s">
        <v>145</v>
      </c>
      <c r="B78" s="7" t="s">
        <v>128</v>
      </c>
      <c r="C78" s="7" t="s">
        <v>128</v>
      </c>
      <c r="D78" s="7" t="s">
        <v>130</v>
      </c>
      <c r="E78" s="7"/>
      <c r="F78" s="7"/>
      <c r="G78" s="7">
        <v>100</v>
      </c>
      <c r="H78" s="7">
        <f t="shared" si="2"/>
        <v>2</v>
      </c>
      <c r="I78" s="7">
        <f t="shared" si="3"/>
        <v>2</v>
      </c>
    </row>
    <row r="79" spans="1:9">
      <c r="A79" s="7" t="s">
        <v>146</v>
      </c>
      <c r="B79" s="7" t="s">
        <v>128</v>
      </c>
      <c r="C79" s="7" t="s">
        <v>128</v>
      </c>
      <c r="D79" s="7" t="s">
        <v>130</v>
      </c>
      <c r="E79" s="7"/>
      <c r="F79" s="7"/>
      <c r="G79" s="7">
        <v>100</v>
      </c>
      <c r="H79" s="7">
        <f t="shared" si="2"/>
        <v>2</v>
      </c>
      <c r="I79" s="7">
        <f t="shared" si="3"/>
        <v>2</v>
      </c>
    </row>
    <row r="80" spans="1:9">
      <c r="A80" s="7" t="s">
        <v>147</v>
      </c>
      <c r="B80" s="7" t="s">
        <v>128</v>
      </c>
      <c r="C80" s="7" t="s">
        <v>128</v>
      </c>
      <c r="D80" s="7" t="s">
        <v>130</v>
      </c>
      <c r="E80" s="7"/>
      <c r="F80" s="7"/>
      <c r="G80" s="7">
        <v>100</v>
      </c>
      <c r="H80" s="7">
        <f t="shared" si="2"/>
        <v>2</v>
      </c>
      <c r="I80" s="7">
        <f t="shared" si="3"/>
        <v>2</v>
      </c>
    </row>
    <row r="81" spans="1:9">
      <c r="A81" s="7" t="s">
        <v>148</v>
      </c>
      <c r="B81" s="7" t="s">
        <v>128</v>
      </c>
      <c r="C81" s="7" t="s">
        <v>133</v>
      </c>
      <c r="D81" s="7" t="s">
        <v>130</v>
      </c>
      <c r="E81" s="7" t="s">
        <v>88</v>
      </c>
      <c r="F81" s="7"/>
      <c r="G81" s="7">
        <v>100</v>
      </c>
      <c r="H81" s="7">
        <f t="shared" si="2"/>
        <v>2</v>
      </c>
      <c r="I81" s="7">
        <f t="shared" si="3"/>
        <v>2</v>
      </c>
    </row>
    <row r="82" spans="1:9">
      <c r="A82" s="7" t="s">
        <v>149</v>
      </c>
      <c r="B82" s="7" t="s">
        <v>150</v>
      </c>
      <c r="C82" s="7" t="s">
        <v>150</v>
      </c>
      <c r="D82" s="7" t="s">
        <v>151</v>
      </c>
      <c r="E82" s="7"/>
      <c r="F82" s="7"/>
      <c r="G82" s="7">
        <v>100</v>
      </c>
      <c r="H82" s="7">
        <f t="shared" si="2"/>
        <v>3</v>
      </c>
      <c r="I82" s="7">
        <f t="shared" si="3"/>
        <v>3</v>
      </c>
    </row>
    <row r="83" spans="1:9">
      <c r="A83" s="7" t="s">
        <v>152</v>
      </c>
      <c r="B83" s="7" t="s">
        <v>150</v>
      </c>
      <c r="C83" s="7" t="s">
        <v>153</v>
      </c>
      <c r="D83" s="7" t="s">
        <v>153</v>
      </c>
      <c r="E83" s="7"/>
      <c r="F83" s="7" t="s">
        <v>154</v>
      </c>
      <c r="G83" s="7">
        <v>66.67</v>
      </c>
      <c r="H83" s="7">
        <f t="shared" si="2"/>
        <v>3</v>
      </c>
      <c r="I83" s="7">
        <f t="shared" si="3"/>
        <v>2</v>
      </c>
    </row>
    <row r="84" spans="1:9">
      <c r="A84" s="7" t="s">
        <v>155</v>
      </c>
      <c r="B84" s="7" t="s">
        <v>150</v>
      </c>
      <c r="C84" s="7" t="s">
        <v>151</v>
      </c>
      <c r="D84" s="7" t="s">
        <v>151</v>
      </c>
      <c r="E84" s="7"/>
      <c r="F84" s="7"/>
      <c r="G84" s="7">
        <v>100</v>
      </c>
      <c r="H84" s="7">
        <f t="shared" si="2"/>
        <v>3</v>
      </c>
      <c r="I84" s="7">
        <f t="shared" si="3"/>
        <v>3</v>
      </c>
    </row>
    <row r="85" spans="1:9">
      <c r="A85" s="7" t="s">
        <v>156</v>
      </c>
      <c r="B85" s="7" t="s">
        <v>150</v>
      </c>
      <c r="C85" s="7" t="s">
        <v>151</v>
      </c>
      <c r="D85" s="7" t="s">
        <v>151</v>
      </c>
      <c r="E85" s="7"/>
      <c r="F85" s="7"/>
      <c r="G85" s="7">
        <v>100</v>
      </c>
      <c r="H85" s="7">
        <f t="shared" si="2"/>
        <v>3</v>
      </c>
      <c r="I85" s="7">
        <f t="shared" si="3"/>
        <v>3</v>
      </c>
    </row>
    <row r="86" spans="1:9">
      <c r="A86" s="7" t="s">
        <v>157</v>
      </c>
      <c r="B86" s="7" t="s">
        <v>150</v>
      </c>
      <c r="C86" s="7" t="s">
        <v>92</v>
      </c>
      <c r="D86" s="7" t="s">
        <v>75</v>
      </c>
      <c r="E86" s="7" t="s">
        <v>88</v>
      </c>
      <c r="F86" s="7" t="s">
        <v>130</v>
      </c>
      <c r="G86" s="7">
        <v>33.33</v>
      </c>
      <c r="H86" s="7">
        <f t="shared" si="2"/>
        <v>3</v>
      </c>
      <c r="I86" s="7">
        <f t="shared" si="3"/>
        <v>1</v>
      </c>
    </row>
    <row r="87" spans="1:9">
      <c r="A87" s="7" t="s">
        <v>158</v>
      </c>
      <c r="B87" s="7" t="s">
        <v>150</v>
      </c>
      <c r="C87" s="7" t="s">
        <v>151</v>
      </c>
      <c r="D87" s="7" t="s">
        <v>151</v>
      </c>
      <c r="E87" s="7"/>
      <c r="F87" s="7"/>
      <c r="G87" s="7">
        <v>100</v>
      </c>
      <c r="H87" s="7">
        <f t="shared" si="2"/>
        <v>3</v>
      </c>
      <c r="I87" s="7">
        <f t="shared" si="3"/>
        <v>3</v>
      </c>
    </row>
    <row r="88" spans="1:9">
      <c r="A88" s="7" t="s">
        <v>159</v>
      </c>
      <c r="B88" s="7" t="s">
        <v>150</v>
      </c>
      <c r="C88" s="7" t="s">
        <v>150</v>
      </c>
      <c r="D88" s="7" t="s">
        <v>151</v>
      </c>
      <c r="E88" s="7"/>
      <c r="F88" s="7"/>
      <c r="G88" s="7">
        <v>100</v>
      </c>
      <c r="H88" s="7">
        <f t="shared" si="2"/>
        <v>3</v>
      </c>
      <c r="I88" s="7">
        <f t="shared" si="3"/>
        <v>3</v>
      </c>
    </row>
    <row r="89" spans="1:9">
      <c r="A89" s="7" t="s">
        <v>160</v>
      </c>
      <c r="B89" s="7" t="s">
        <v>150</v>
      </c>
      <c r="C89" s="7" t="s">
        <v>150</v>
      </c>
      <c r="D89" s="7" t="s">
        <v>151</v>
      </c>
      <c r="E89" s="7"/>
      <c r="F89" s="7"/>
      <c r="G89" s="7">
        <v>100</v>
      </c>
      <c r="H89" s="7">
        <f t="shared" si="2"/>
        <v>3</v>
      </c>
      <c r="I89" s="7">
        <f t="shared" si="3"/>
        <v>3</v>
      </c>
    </row>
    <row r="90" spans="1:9">
      <c r="A90" s="7" t="s">
        <v>161</v>
      </c>
      <c r="B90" s="7" t="s">
        <v>150</v>
      </c>
      <c r="C90" s="7" t="s">
        <v>162</v>
      </c>
      <c r="D90" s="7" t="s">
        <v>153</v>
      </c>
      <c r="E90" s="7" t="s">
        <v>88</v>
      </c>
      <c r="F90" s="7" t="s">
        <v>154</v>
      </c>
      <c r="G90" s="7">
        <v>66.67</v>
      </c>
      <c r="H90" s="7">
        <f t="shared" si="2"/>
        <v>3</v>
      </c>
      <c r="I90" s="7">
        <f t="shared" si="3"/>
        <v>2</v>
      </c>
    </row>
    <row r="91" spans="1:9">
      <c r="A91" s="7" t="s">
        <v>163</v>
      </c>
      <c r="B91" s="7" t="s">
        <v>150</v>
      </c>
      <c r="C91" s="7" t="s">
        <v>150</v>
      </c>
      <c r="D91" s="7" t="s">
        <v>151</v>
      </c>
      <c r="E91" s="7"/>
      <c r="F91" s="7"/>
      <c r="G91" s="7">
        <v>100</v>
      </c>
      <c r="H91" s="7">
        <f t="shared" si="2"/>
        <v>3</v>
      </c>
      <c r="I91" s="7">
        <f t="shared" si="3"/>
        <v>3</v>
      </c>
    </row>
    <row r="92" spans="1:9">
      <c r="A92" s="7" t="s">
        <v>164</v>
      </c>
      <c r="B92" s="7" t="s">
        <v>150</v>
      </c>
      <c r="C92" s="7" t="s">
        <v>153</v>
      </c>
      <c r="D92" s="7" t="s">
        <v>153</v>
      </c>
      <c r="E92" s="7"/>
      <c r="F92" s="7" t="s">
        <v>154</v>
      </c>
      <c r="G92" s="7">
        <v>66.67</v>
      </c>
      <c r="H92" s="7">
        <f t="shared" si="2"/>
        <v>3</v>
      </c>
      <c r="I92" s="7">
        <f t="shared" si="3"/>
        <v>2</v>
      </c>
    </row>
    <row r="93" spans="1:9">
      <c r="A93" s="7" t="s">
        <v>165</v>
      </c>
      <c r="B93" s="7" t="s">
        <v>150</v>
      </c>
      <c r="C93" s="7" t="s">
        <v>150</v>
      </c>
      <c r="D93" s="7" t="s">
        <v>151</v>
      </c>
      <c r="E93" s="7"/>
      <c r="F93" s="7"/>
      <c r="G93" s="7">
        <v>100</v>
      </c>
      <c r="H93" s="7">
        <f t="shared" si="2"/>
        <v>3</v>
      </c>
      <c r="I93" s="7">
        <f t="shared" si="3"/>
        <v>3</v>
      </c>
    </row>
    <row r="94" spans="1:9">
      <c r="A94" s="7" t="s">
        <v>166</v>
      </c>
      <c r="B94" s="7" t="s">
        <v>167</v>
      </c>
      <c r="C94" s="7" t="s">
        <v>168</v>
      </c>
      <c r="D94" s="7" t="s">
        <v>168</v>
      </c>
      <c r="E94" s="7"/>
      <c r="F94" s="7" t="s">
        <v>154</v>
      </c>
      <c r="G94" s="7">
        <v>75</v>
      </c>
      <c r="H94" s="7">
        <f t="shared" si="2"/>
        <v>4</v>
      </c>
      <c r="I94" s="7">
        <f t="shared" si="3"/>
        <v>3</v>
      </c>
    </row>
    <row r="95" spans="1:9">
      <c r="A95" s="7" t="s">
        <v>169</v>
      </c>
      <c r="B95" s="7" t="s">
        <v>167</v>
      </c>
      <c r="C95" s="7" t="s">
        <v>170</v>
      </c>
      <c r="D95" s="7" t="s">
        <v>168</v>
      </c>
      <c r="E95" s="7" t="s">
        <v>88</v>
      </c>
      <c r="F95" s="7" t="s">
        <v>154</v>
      </c>
      <c r="G95" s="7">
        <v>75</v>
      </c>
      <c r="H95" s="7">
        <f t="shared" si="2"/>
        <v>4</v>
      </c>
      <c r="I95" s="7">
        <f t="shared" si="3"/>
        <v>3</v>
      </c>
    </row>
    <row r="96" spans="1:9">
      <c r="A96" s="7" t="s">
        <v>171</v>
      </c>
      <c r="B96" s="7" t="s">
        <v>167</v>
      </c>
      <c r="C96" s="7" t="s">
        <v>168</v>
      </c>
      <c r="D96" s="7" t="s">
        <v>168</v>
      </c>
      <c r="E96" s="7"/>
      <c r="F96" s="7" t="s">
        <v>154</v>
      </c>
      <c r="G96" s="7">
        <v>75</v>
      </c>
      <c r="H96" s="7">
        <f t="shared" si="2"/>
        <v>4</v>
      </c>
      <c r="I96" s="7">
        <f t="shared" si="3"/>
        <v>3</v>
      </c>
    </row>
    <row r="97" spans="1:9">
      <c r="A97" s="7" t="s">
        <v>172</v>
      </c>
      <c r="B97" s="7" t="s">
        <v>167</v>
      </c>
      <c r="C97" s="7" t="s">
        <v>168</v>
      </c>
      <c r="D97" s="7" t="s">
        <v>168</v>
      </c>
      <c r="E97" s="7"/>
      <c r="F97" s="7" t="s">
        <v>154</v>
      </c>
      <c r="G97" s="7">
        <v>75</v>
      </c>
      <c r="H97" s="7">
        <f t="shared" si="2"/>
        <v>4</v>
      </c>
      <c r="I97" s="7">
        <f t="shared" si="3"/>
        <v>3</v>
      </c>
    </row>
    <row r="98" spans="1:9">
      <c r="A98" s="7" t="s">
        <v>173</v>
      </c>
      <c r="B98" s="7" t="s">
        <v>167</v>
      </c>
      <c r="C98" s="7" t="s">
        <v>168</v>
      </c>
      <c r="D98" s="7" t="s">
        <v>168</v>
      </c>
      <c r="E98" s="7"/>
      <c r="F98" s="7" t="s">
        <v>154</v>
      </c>
      <c r="G98" s="7">
        <v>75</v>
      </c>
      <c r="H98" s="7">
        <f t="shared" si="2"/>
        <v>4</v>
      </c>
      <c r="I98" s="7">
        <f t="shared" si="3"/>
        <v>3</v>
      </c>
    </row>
    <row r="99" spans="1:9">
      <c r="A99" s="7" t="s">
        <v>174</v>
      </c>
      <c r="B99" s="7" t="s">
        <v>167</v>
      </c>
      <c r="C99" s="7" t="s">
        <v>168</v>
      </c>
      <c r="D99" s="7" t="s">
        <v>168</v>
      </c>
      <c r="E99" s="7"/>
      <c r="F99" s="7" t="s">
        <v>154</v>
      </c>
      <c r="G99" s="7">
        <v>75</v>
      </c>
      <c r="H99" s="7">
        <f t="shared" si="2"/>
        <v>4</v>
      </c>
      <c r="I99" s="7">
        <f t="shared" si="3"/>
        <v>3</v>
      </c>
    </row>
    <row r="100" spans="1:9">
      <c r="A100" s="7" t="s">
        <v>175</v>
      </c>
      <c r="B100" s="7" t="s">
        <v>167</v>
      </c>
      <c r="C100" s="7" t="s">
        <v>168</v>
      </c>
      <c r="D100" s="7" t="s">
        <v>168</v>
      </c>
      <c r="E100" s="7"/>
      <c r="F100" s="7" t="s">
        <v>154</v>
      </c>
      <c r="G100" s="7">
        <v>75</v>
      </c>
      <c r="H100" s="7">
        <f t="shared" si="2"/>
        <v>4</v>
      </c>
      <c r="I100" s="7">
        <f t="shared" si="3"/>
        <v>3</v>
      </c>
    </row>
    <row r="101" spans="1:9">
      <c r="A101" s="7" t="s">
        <v>176</v>
      </c>
      <c r="B101" s="7" t="s">
        <v>167</v>
      </c>
      <c r="C101" s="7" t="s">
        <v>168</v>
      </c>
      <c r="D101" s="7" t="s">
        <v>168</v>
      </c>
      <c r="E101" s="7"/>
      <c r="F101" s="7" t="s">
        <v>154</v>
      </c>
      <c r="G101" s="7">
        <v>75</v>
      </c>
      <c r="H101" s="7">
        <f t="shared" si="2"/>
        <v>4</v>
      </c>
      <c r="I101" s="7">
        <f t="shared" si="3"/>
        <v>3</v>
      </c>
    </row>
    <row r="102" spans="1:9">
      <c r="A102" s="7" t="s">
        <v>177</v>
      </c>
      <c r="B102" s="7" t="s">
        <v>167</v>
      </c>
      <c r="C102" s="7" t="s">
        <v>168</v>
      </c>
      <c r="D102" s="7" t="s">
        <v>168</v>
      </c>
      <c r="E102" s="7"/>
      <c r="F102" s="7" t="s">
        <v>154</v>
      </c>
      <c r="G102" s="7">
        <v>75</v>
      </c>
      <c r="H102" s="7">
        <f t="shared" si="2"/>
        <v>4</v>
      </c>
      <c r="I102" s="7">
        <f t="shared" si="3"/>
        <v>3</v>
      </c>
    </row>
    <row r="103" spans="1:9">
      <c r="A103" s="7" t="s">
        <v>178</v>
      </c>
      <c r="B103" s="7" t="s">
        <v>167</v>
      </c>
      <c r="C103" s="7" t="s">
        <v>179</v>
      </c>
      <c r="D103" s="7" t="s">
        <v>179</v>
      </c>
      <c r="E103" s="7"/>
      <c r="F103" s="7" t="s">
        <v>130</v>
      </c>
      <c r="G103" s="7">
        <v>50</v>
      </c>
      <c r="H103" s="7">
        <f t="shared" si="2"/>
        <v>4</v>
      </c>
      <c r="I103" s="7">
        <f t="shared" si="3"/>
        <v>2</v>
      </c>
    </row>
    <row r="104" spans="1:9">
      <c r="A104" s="7" t="s">
        <v>180</v>
      </c>
      <c r="B104" s="7" t="s">
        <v>167</v>
      </c>
      <c r="C104" s="7" t="s">
        <v>179</v>
      </c>
      <c r="D104" s="7" t="s">
        <v>179</v>
      </c>
      <c r="E104" s="7"/>
      <c r="F104" s="7" t="s">
        <v>130</v>
      </c>
      <c r="G104" s="7">
        <v>50</v>
      </c>
      <c r="H104" s="7">
        <f t="shared" si="2"/>
        <v>4</v>
      </c>
      <c r="I104" s="7">
        <f t="shared" si="3"/>
        <v>2</v>
      </c>
    </row>
    <row r="105" spans="1:9">
      <c r="A105" s="7" t="s">
        <v>181</v>
      </c>
      <c r="B105" s="7" t="s">
        <v>167</v>
      </c>
      <c r="C105" s="7" t="s">
        <v>182</v>
      </c>
      <c r="D105" s="7" t="s">
        <v>182</v>
      </c>
      <c r="E105" s="7"/>
      <c r="F105" s="7" t="s">
        <v>183</v>
      </c>
      <c r="G105" s="7">
        <v>75</v>
      </c>
      <c r="H105" s="7">
        <f t="shared" si="2"/>
        <v>4</v>
      </c>
      <c r="I105" s="7">
        <f t="shared" si="3"/>
        <v>3</v>
      </c>
    </row>
    <row r="106" spans="1:9">
      <c r="A106" s="7" t="s">
        <v>184</v>
      </c>
      <c r="B106" s="7" t="s">
        <v>167</v>
      </c>
      <c r="C106" s="7" t="s">
        <v>168</v>
      </c>
      <c r="D106" s="7" t="s">
        <v>168</v>
      </c>
      <c r="E106" s="7"/>
      <c r="F106" s="7" t="s">
        <v>154</v>
      </c>
      <c r="G106" s="7">
        <v>75</v>
      </c>
      <c r="H106" s="7">
        <f t="shared" si="2"/>
        <v>4</v>
      </c>
      <c r="I106" s="7">
        <f t="shared" si="3"/>
        <v>3</v>
      </c>
    </row>
    <row r="107" spans="1:9">
      <c r="A107" s="7" t="s">
        <v>185</v>
      </c>
      <c r="B107" s="7" t="s">
        <v>186</v>
      </c>
      <c r="C107" s="7" t="s">
        <v>187</v>
      </c>
      <c r="D107" s="7" t="s">
        <v>188</v>
      </c>
      <c r="E107" s="7" t="s">
        <v>35</v>
      </c>
      <c r="F107" s="7" t="s">
        <v>189</v>
      </c>
      <c r="G107" s="7">
        <v>40</v>
      </c>
      <c r="H107" s="7">
        <f t="shared" si="2"/>
        <v>5</v>
      </c>
      <c r="I107" s="7">
        <f t="shared" si="3"/>
        <v>2</v>
      </c>
    </row>
    <row r="108" spans="1:9">
      <c r="A108" s="7" t="s">
        <v>190</v>
      </c>
      <c r="B108" s="7" t="s">
        <v>191</v>
      </c>
      <c r="C108" s="7" t="s">
        <v>192</v>
      </c>
      <c r="D108" s="7" t="s">
        <v>188</v>
      </c>
      <c r="E108" s="7" t="s">
        <v>193</v>
      </c>
      <c r="F108" s="7" t="s">
        <v>130</v>
      </c>
      <c r="G108" s="7">
        <v>50</v>
      </c>
      <c r="H108" s="7">
        <f t="shared" si="2"/>
        <v>4</v>
      </c>
      <c r="I108" s="7">
        <f t="shared" si="3"/>
        <v>2</v>
      </c>
    </row>
    <row r="109" spans="1:9">
      <c r="A109" s="7" t="s">
        <v>194</v>
      </c>
      <c r="B109" s="7" t="s">
        <v>195</v>
      </c>
      <c r="C109" s="7" t="s">
        <v>196</v>
      </c>
      <c r="D109" s="7" t="s">
        <v>197</v>
      </c>
      <c r="E109" s="7"/>
      <c r="F109" s="7" t="s">
        <v>198</v>
      </c>
      <c r="G109" s="7">
        <v>50</v>
      </c>
      <c r="H109" s="7">
        <f t="shared" si="2"/>
        <v>6</v>
      </c>
      <c r="I109" s="7">
        <f t="shared" si="3"/>
        <v>3</v>
      </c>
    </row>
    <row r="110" spans="1:9">
      <c r="A110" s="7" t="s">
        <v>199</v>
      </c>
      <c r="B110" s="7" t="s">
        <v>200</v>
      </c>
      <c r="C110" s="7" t="s">
        <v>187</v>
      </c>
      <c r="D110" s="7" t="s">
        <v>188</v>
      </c>
      <c r="E110" s="7" t="s">
        <v>35</v>
      </c>
      <c r="F110" s="7" t="s">
        <v>201</v>
      </c>
      <c r="G110" s="7">
        <v>33.33</v>
      </c>
      <c r="H110" s="7">
        <f t="shared" si="2"/>
        <v>6</v>
      </c>
      <c r="I110" s="7">
        <f t="shared" si="3"/>
        <v>2</v>
      </c>
    </row>
    <row r="111" spans="1:9">
      <c r="A111" s="7" t="s">
        <v>202</v>
      </c>
      <c r="B111" s="7" t="s">
        <v>203</v>
      </c>
      <c r="C111" s="7" t="s">
        <v>204</v>
      </c>
      <c r="D111" s="7" t="s">
        <v>196</v>
      </c>
      <c r="E111" s="7" t="s">
        <v>35</v>
      </c>
      <c r="F111" s="7" t="s">
        <v>205</v>
      </c>
      <c r="G111" s="7">
        <v>50</v>
      </c>
      <c r="H111" s="7">
        <f t="shared" si="2"/>
        <v>6</v>
      </c>
      <c r="I111" s="7">
        <f t="shared" si="3"/>
        <v>3</v>
      </c>
    </row>
    <row r="112" spans="1:9">
      <c r="A112" s="7" t="s">
        <v>206</v>
      </c>
      <c r="B112" s="7" t="s">
        <v>203</v>
      </c>
      <c r="C112" s="7" t="s">
        <v>204</v>
      </c>
      <c r="D112" s="7" t="s">
        <v>196</v>
      </c>
      <c r="E112" s="7" t="s">
        <v>35</v>
      </c>
      <c r="F112" s="7" t="s">
        <v>205</v>
      </c>
      <c r="G112" s="7">
        <v>50</v>
      </c>
      <c r="H112" s="7">
        <f t="shared" si="2"/>
        <v>6</v>
      </c>
      <c r="I112" s="7">
        <f t="shared" si="3"/>
        <v>3</v>
      </c>
    </row>
    <row r="113" spans="1:9">
      <c r="A113" s="7" t="s">
        <v>207</v>
      </c>
      <c r="B113" s="7" t="s">
        <v>186</v>
      </c>
      <c r="C113" s="7" t="s">
        <v>204</v>
      </c>
      <c r="D113" s="7" t="s">
        <v>196</v>
      </c>
      <c r="E113" s="7" t="s">
        <v>35</v>
      </c>
      <c r="F113" s="7" t="s">
        <v>130</v>
      </c>
      <c r="G113" s="7">
        <v>60</v>
      </c>
      <c r="H113" s="7">
        <f t="shared" si="2"/>
        <v>5</v>
      </c>
      <c r="I113" s="7">
        <f t="shared" si="3"/>
        <v>3</v>
      </c>
    </row>
    <row r="114" spans="1:9">
      <c r="A114" s="7" t="s">
        <v>208</v>
      </c>
      <c r="B114" s="7" t="s">
        <v>203</v>
      </c>
      <c r="C114" s="7" t="s">
        <v>209</v>
      </c>
      <c r="D114" s="7" t="s">
        <v>88</v>
      </c>
      <c r="E114" s="7" t="s">
        <v>35</v>
      </c>
      <c r="F114" s="7" t="s">
        <v>210</v>
      </c>
      <c r="G114" s="7">
        <v>16.670000000000002</v>
      </c>
      <c r="H114" s="7">
        <f t="shared" si="2"/>
        <v>6</v>
      </c>
      <c r="I114" s="7">
        <f t="shared" si="3"/>
        <v>1</v>
      </c>
    </row>
    <row r="115" spans="1:9">
      <c r="A115" s="7" t="s">
        <v>211</v>
      </c>
      <c r="B115" s="7" t="s">
        <v>203</v>
      </c>
      <c r="C115" s="7" t="s">
        <v>187</v>
      </c>
      <c r="D115" s="7" t="s">
        <v>188</v>
      </c>
      <c r="E115" s="7" t="s">
        <v>35</v>
      </c>
      <c r="F115" s="7" t="s">
        <v>212</v>
      </c>
      <c r="G115" s="7">
        <v>33.33</v>
      </c>
      <c r="H115" s="7">
        <f t="shared" si="2"/>
        <v>6</v>
      </c>
      <c r="I115" s="7">
        <f t="shared" si="3"/>
        <v>2</v>
      </c>
    </row>
    <row r="116" spans="1:9">
      <c r="A116" s="7" t="s">
        <v>213</v>
      </c>
      <c r="B116" s="7" t="s">
        <v>203</v>
      </c>
      <c r="C116" s="7" t="s">
        <v>192</v>
      </c>
      <c r="D116" s="7" t="s">
        <v>197</v>
      </c>
      <c r="E116" s="7" t="s">
        <v>35</v>
      </c>
      <c r="F116" s="7" t="s">
        <v>205</v>
      </c>
      <c r="G116" s="7">
        <v>50</v>
      </c>
      <c r="H116" s="7">
        <f t="shared" si="2"/>
        <v>6</v>
      </c>
      <c r="I116" s="7">
        <f t="shared" si="3"/>
        <v>3</v>
      </c>
    </row>
    <row r="117" spans="1:9">
      <c r="A117" s="7" t="s">
        <v>214</v>
      </c>
      <c r="B117" s="7" t="s">
        <v>200</v>
      </c>
      <c r="C117" s="7" t="s">
        <v>196</v>
      </c>
      <c r="D117" s="7" t="s">
        <v>197</v>
      </c>
      <c r="E117" s="7"/>
      <c r="F117" s="7" t="s">
        <v>215</v>
      </c>
      <c r="G117" s="7">
        <v>50</v>
      </c>
      <c r="H117" s="7">
        <f t="shared" si="2"/>
        <v>6</v>
      </c>
      <c r="I117" s="7">
        <f t="shared" si="3"/>
        <v>3</v>
      </c>
    </row>
    <row r="118" spans="1:9">
      <c r="A118" s="7" t="s">
        <v>216</v>
      </c>
      <c r="B118" s="7" t="s">
        <v>200</v>
      </c>
      <c r="C118" s="7" t="s">
        <v>217</v>
      </c>
      <c r="D118" s="7" t="s">
        <v>218</v>
      </c>
      <c r="E118" s="7" t="s">
        <v>35</v>
      </c>
      <c r="F118" s="7" t="s">
        <v>215</v>
      </c>
      <c r="G118" s="7">
        <v>50</v>
      </c>
      <c r="H118" s="7">
        <f t="shared" si="2"/>
        <v>6</v>
      </c>
      <c r="I118" s="7">
        <f t="shared" si="3"/>
        <v>3</v>
      </c>
    </row>
    <row r="119" spans="1:9">
      <c r="A119" s="7" t="s">
        <v>219</v>
      </c>
      <c r="B119" s="7" t="s">
        <v>186</v>
      </c>
      <c r="C119" s="7" t="s">
        <v>217</v>
      </c>
      <c r="D119" s="7" t="s">
        <v>218</v>
      </c>
      <c r="E119" s="7" t="s">
        <v>35</v>
      </c>
      <c r="F119" s="7" t="s">
        <v>130</v>
      </c>
      <c r="G119" s="7">
        <v>60</v>
      </c>
      <c r="H119" s="7">
        <f t="shared" si="2"/>
        <v>5</v>
      </c>
      <c r="I119" s="7">
        <f t="shared" si="3"/>
        <v>3</v>
      </c>
    </row>
    <row r="120" spans="1:9">
      <c r="A120" s="7" t="s">
        <v>220</v>
      </c>
      <c r="B120" s="7" t="s">
        <v>200</v>
      </c>
      <c r="C120" s="7" t="s">
        <v>197</v>
      </c>
      <c r="D120" s="7" t="s">
        <v>218</v>
      </c>
      <c r="E120" s="7"/>
      <c r="F120" s="7" t="s">
        <v>215</v>
      </c>
      <c r="G120" s="7">
        <v>50</v>
      </c>
      <c r="H120" s="7">
        <f t="shared" si="2"/>
        <v>6</v>
      </c>
      <c r="I120" s="7">
        <f t="shared" si="3"/>
        <v>3</v>
      </c>
    </row>
    <row r="121" spans="1:9">
      <c r="A121" s="7" t="s">
        <v>221</v>
      </c>
      <c r="B121" s="7" t="s">
        <v>222</v>
      </c>
      <c r="C121" s="7" t="s">
        <v>197</v>
      </c>
      <c r="D121" s="7" t="s">
        <v>218</v>
      </c>
      <c r="E121" s="7"/>
      <c r="F121" s="7" t="s">
        <v>223</v>
      </c>
      <c r="G121" s="7">
        <v>50</v>
      </c>
      <c r="H121" s="7">
        <f t="shared" si="2"/>
        <v>6</v>
      </c>
      <c r="I121" s="7">
        <f t="shared" si="3"/>
        <v>3</v>
      </c>
    </row>
    <row r="122" spans="1:9">
      <c r="A122" s="7" t="s">
        <v>224</v>
      </c>
      <c r="B122" s="7" t="s">
        <v>203</v>
      </c>
      <c r="C122" s="7" t="s">
        <v>187</v>
      </c>
      <c r="D122" s="7" t="s">
        <v>188</v>
      </c>
      <c r="E122" s="7" t="s">
        <v>35</v>
      </c>
      <c r="F122" s="7" t="s">
        <v>212</v>
      </c>
      <c r="G122" s="7">
        <v>33.33</v>
      </c>
      <c r="H122" s="7">
        <f t="shared" si="2"/>
        <v>6</v>
      </c>
      <c r="I122" s="7">
        <f t="shared" si="3"/>
        <v>2</v>
      </c>
    </row>
    <row r="123" spans="1:9">
      <c r="A123" s="7" t="s">
        <v>225</v>
      </c>
      <c r="B123" s="7" t="s">
        <v>195</v>
      </c>
      <c r="C123" s="7" t="s">
        <v>217</v>
      </c>
      <c r="D123" s="7" t="s">
        <v>204</v>
      </c>
      <c r="E123" s="7"/>
      <c r="F123" s="7" t="s">
        <v>130</v>
      </c>
      <c r="G123" s="7">
        <v>66.67</v>
      </c>
      <c r="H123" s="7">
        <f t="shared" si="2"/>
        <v>6</v>
      </c>
      <c r="I123" s="7">
        <f t="shared" si="3"/>
        <v>4</v>
      </c>
    </row>
    <row r="124" spans="1:9">
      <c r="A124" s="7" t="s">
        <v>226</v>
      </c>
      <c r="B124" s="7" t="s">
        <v>227</v>
      </c>
      <c r="C124" s="7" t="s">
        <v>227</v>
      </c>
      <c r="D124" s="7" t="s">
        <v>228</v>
      </c>
      <c r="E124" s="7"/>
      <c r="F124" s="7"/>
      <c r="G124" s="7">
        <v>100</v>
      </c>
      <c r="H124" s="7">
        <f t="shared" si="2"/>
        <v>6</v>
      </c>
      <c r="I124" s="7">
        <f t="shared" si="3"/>
        <v>6</v>
      </c>
    </row>
    <row r="125" spans="1:9">
      <c r="A125" s="7" t="s">
        <v>229</v>
      </c>
      <c r="B125" s="7" t="s">
        <v>227</v>
      </c>
      <c r="C125" s="7" t="s">
        <v>230</v>
      </c>
      <c r="D125" s="7" t="s">
        <v>230</v>
      </c>
      <c r="E125" s="7"/>
      <c r="F125" s="7" t="s">
        <v>231</v>
      </c>
      <c r="G125" s="7">
        <v>66.67</v>
      </c>
      <c r="H125" s="7">
        <f t="shared" si="2"/>
        <v>6</v>
      </c>
      <c r="I125" s="7">
        <f t="shared" si="3"/>
        <v>4</v>
      </c>
    </row>
    <row r="126" spans="1:9">
      <c r="A126" s="7" t="s">
        <v>232</v>
      </c>
      <c r="B126" s="7" t="s">
        <v>227</v>
      </c>
      <c r="C126" s="7" t="s">
        <v>233</v>
      </c>
      <c r="D126" s="7" t="s">
        <v>233</v>
      </c>
      <c r="E126" s="7"/>
      <c r="F126" s="7" t="s">
        <v>65</v>
      </c>
      <c r="G126" s="7">
        <v>83.33</v>
      </c>
      <c r="H126" s="7">
        <f t="shared" si="2"/>
        <v>6</v>
      </c>
      <c r="I126" s="7">
        <f t="shared" si="3"/>
        <v>5</v>
      </c>
    </row>
    <row r="127" spans="1:9">
      <c r="A127" s="7" t="s">
        <v>234</v>
      </c>
      <c r="B127" s="7" t="s">
        <v>227</v>
      </c>
      <c r="C127" s="7" t="s">
        <v>235</v>
      </c>
      <c r="D127" s="7" t="s">
        <v>235</v>
      </c>
      <c r="E127" s="7"/>
      <c r="F127" s="7" t="s">
        <v>236</v>
      </c>
      <c r="G127" s="7">
        <v>50</v>
      </c>
      <c r="H127" s="7">
        <f t="shared" si="2"/>
        <v>6</v>
      </c>
      <c r="I127" s="7">
        <f t="shared" si="3"/>
        <v>3</v>
      </c>
    </row>
    <row r="128" spans="1:9">
      <c r="A128" s="7" t="s">
        <v>237</v>
      </c>
      <c r="B128" s="7" t="s">
        <v>227</v>
      </c>
      <c r="C128" s="7" t="s">
        <v>230</v>
      </c>
      <c r="D128" s="7" t="s">
        <v>230</v>
      </c>
      <c r="E128" s="7"/>
      <c r="F128" s="7" t="s">
        <v>231</v>
      </c>
      <c r="G128" s="7">
        <v>66.67</v>
      </c>
      <c r="H128" s="7">
        <f t="shared" si="2"/>
        <v>6</v>
      </c>
      <c r="I128" s="7">
        <f t="shared" si="3"/>
        <v>4</v>
      </c>
    </row>
    <row r="129" spans="1:9">
      <c r="A129" s="7" t="s">
        <v>238</v>
      </c>
      <c r="B129" s="7" t="s">
        <v>227</v>
      </c>
      <c r="C129" s="7" t="s">
        <v>233</v>
      </c>
      <c r="D129" s="7" t="s">
        <v>233</v>
      </c>
      <c r="E129" s="7"/>
      <c r="F129" s="7" t="s">
        <v>65</v>
      </c>
      <c r="G129" s="7">
        <v>83.33</v>
      </c>
      <c r="H129" s="7">
        <f t="shared" si="2"/>
        <v>6</v>
      </c>
      <c r="I129" s="7">
        <f t="shared" si="3"/>
        <v>5</v>
      </c>
    </row>
    <row r="130" spans="1:9">
      <c r="A130" s="7" t="s">
        <v>239</v>
      </c>
      <c r="B130" s="7" t="s">
        <v>240</v>
      </c>
      <c r="C130" s="7" t="s">
        <v>228</v>
      </c>
      <c r="D130" s="7" t="s">
        <v>241</v>
      </c>
      <c r="E130" s="7" t="s">
        <v>242</v>
      </c>
      <c r="F130" s="7" t="s">
        <v>35</v>
      </c>
      <c r="G130" s="7">
        <v>83.33</v>
      </c>
      <c r="H130" s="7">
        <f t="shared" ref="H130:H193" si="4">IF(B130="",0,LEN(B130)-LEN(SUBSTITUTE(B130,",",""))+1)</f>
        <v>6</v>
      </c>
      <c r="I130" s="7">
        <f t="shared" ref="I130:I193" si="5">IF(D130="",0,LEN(D130)-LEN(SUBSTITUTE(D130,",",""))+1)</f>
        <v>5</v>
      </c>
    </row>
    <row r="131" spans="1:9">
      <c r="A131" s="7" t="s">
        <v>243</v>
      </c>
      <c r="B131" s="7" t="s">
        <v>227</v>
      </c>
      <c r="C131" s="7" t="s">
        <v>233</v>
      </c>
      <c r="D131" s="7" t="s">
        <v>233</v>
      </c>
      <c r="E131" s="7"/>
      <c r="F131" s="7" t="s">
        <v>65</v>
      </c>
      <c r="G131" s="7">
        <v>83.33</v>
      </c>
      <c r="H131" s="7">
        <f t="shared" si="4"/>
        <v>6</v>
      </c>
      <c r="I131" s="7">
        <f t="shared" si="5"/>
        <v>5</v>
      </c>
    </row>
    <row r="132" spans="1:9">
      <c r="A132" s="7" t="s">
        <v>244</v>
      </c>
      <c r="B132" s="7" t="s">
        <v>227</v>
      </c>
      <c r="C132" s="7" t="s">
        <v>233</v>
      </c>
      <c r="D132" s="7" t="s">
        <v>233</v>
      </c>
      <c r="E132" s="7"/>
      <c r="F132" s="7" t="s">
        <v>65</v>
      </c>
      <c r="G132" s="7">
        <v>83.33</v>
      </c>
      <c r="H132" s="7">
        <f t="shared" si="4"/>
        <v>6</v>
      </c>
      <c r="I132" s="7">
        <f t="shared" si="5"/>
        <v>5</v>
      </c>
    </row>
    <row r="133" spans="1:9">
      <c r="A133" s="7" t="s">
        <v>245</v>
      </c>
      <c r="B133" s="7" t="s">
        <v>228</v>
      </c>
      <c r="C133" s="7" t="s">
        <v>230</v>
      </c>
      <c r="D133" s="7" t="s">
        <v>230</v>
      </c>
      <c r="E133" s="7"/>
      <c r="F133" s="7" t="s">
        <v>231</v>
      </c>
      <c r="G133" s="7">
        <v>66.67</v>
      </c>
      <c r="H133" s="7">
        <f t="shared" si="4"/>
        <v>6</v>
      </c>
      <c r="I133" s="7">
        <f t="shared" si="5"/>
        <v>4</v>
      </c>
    </row>
    <row r="134" spans="1:9">
      <c r="A134" s="7" t="s">
        <v>246</v>
      </c>
      <c r="B134" s="7" t="s">
        <v>227</v>
      </c>
      <c r="C134" s="7" t="s">
        <v>233</v>
      </c>
      <c r="D134" s="7" t="s">
        <v>233</v>
      </c>
      <c r="E134" s="7"/>
      <c r="F134" s="7" t="s">
        <v>65</v>
      </c>
      <c r="G134" s="7">
        <v>83.33</v>
      </c>
      <c r="H134" s="7">
        <f t="shared" si="4"/>
        <v>6</v>
      </c>
      <c r="I134" s="7">
        <f t="shared" si="5"/>
        <v>5</v>
      </c>
    </row>
    <row r="135" spans="1:9">
      <c r="A135" s="7" t="s">
        <v>247</v>
      </c>
      <c r="B135" s="7" t="s">
        <v>240</v>
      </c>
      <c r="C135" s="7" t="s">
        <v>227</v>
      </c>
      <c r="D135" s="7" t="s">
        <v>241</v>
      </c>
      <c r="E135" s="7" t="s">
        <v>242</v>
      </c>
      <c r="F135" s="7" t="s">
        <v>35</v>
      </c>
      <c r="G135" s="7">
        <v>83.33</v>
      </c>
      <c r="H135" s="7">
        <f t="shared" si="4"/>
        <v>6</v>
      </c>
      <c r="I135" s="7">
        <f t="shared" si="5"/>
        <v>5</v>
      </c>
    </row>
    <row r="136" spans="1:9">
      <c r="A136" s="7" t="s">
        <v>248</v>
      </c>
      <c r="B136" s="7" t="s">
        <v>227</v>
      </c>
      <c r="C136" s="7" t="s">
        <v>233</v>
      </c>
      <c r="D136" s="7" t="s">
        <v>233</v>
      </c>
      <c r="E136" s="7"/>
      <c r="F136" s="7" t="s">
        <v>65</v>
      </c>
      <c r="G136" s="7">
        <v>83.33</v>
      </c>
      <c r="H136" s="7">
        <f t="shared" si="4"/>
        <v>6</v>
      </c>
      <c r="I136" s="7">
        <f t="shared" si="5"/>
        <v>5</v>
      </c>
    </row>
    <row r="137" spans="1:9">
      <c r="A137" s="7" t="s">
        <v>249</v>
      </c>
      <c r="B137" s="7" t="s">
        <v>228</v>
      </c>
      <c r="C137" s="7" t="s">
        <v>233</v>
      </c>
      <c r="D137" s="7" t="s">
        <v>233</v>
      </c>
      <c r="E137" s="7"/>
      <c r="F137" s="7" t="s">
        <v>65</v>
      </c>
      <c r="G137" s="7">
        <v>83.33</v>
      </c>
      <c r="H137" s="7">
        <f t="shared" si="4"/>
        <v>6</v>
      </c>
      <c r="I137" s="7">
        <f t="shared" si="5"/>
        <v>5</v>
      </c>
    </row>
    <row r="138" spans="1:9">
      <c r="A138" s="7" t="s">
        <v>250</v>
      </c>
      <c r="B138" s="7" t="s">
        <v>240</v>
      </c>
      <c r="C138" s="7" t="s">
        <v>233</v>
      </c>
      <c r="D138" s="7" t="s">
        <v>251</v>
      </c>
      <c r="E138" s="7" t="s">
        <v>242</v>
      </c>
      <c r="F138" s="7" t="s">
        <v>252</v>
      </c>
      <c r="G138" s="7">
        <v>66.67</v>
      </c>
      <c r="H138" s="7">
        <f t="shared" si="4"/>
        <v>6</v>
      </c>
      <c r="I138" s="7">
        <f t="shared" si="5"/>
        <v>4</v>
      </c>
    </row>
    <row r="139" spans="1:9">
      <c r="A139" s="7" t="s">
        <v>253</v>
      </c>
      <c r="B139" s="7" t="s">
        <v>254</v>
      </c>
      <c r="C139" s="7" t="s">
        <v>255</v>
      </c>
      <c r="D139" s="7" t="s">
        <v>256</v>
      </c>
      <c r="E139" s="7"/>
      <c r="F139" s="7" t="s">
        <v>12</v>
      </c>
      <c r="G139" s="7">
        <v>75</v>
      </c>
      <c r="H139" s="7">
        <f t="shared" si="4"/>
        <v>4</v>
      </c>
      <c r="I139" s="7">
        <f t="shared" si="5"/>
        <v>3</v>
      </c>
    </row>
    <row r="140" spans="1:9">
      <c r="A140" s="7" t="s">
        <v>257</v>
      </c>
      <c r="B140" s="7" t="s">
        <v>254</v>
      </c>
      <c r="C140" s="7" t="s">
        <v>255</v>
      </c>
      <c r="D140" s="7" t="s">
        <v>256</v>
      </c>
      <c r="E140" s="7"/>
      <c r="F140" s="7" t="s">
        <v>12</v>
      </c>
      <c r="G140" s="7">
        <v>75</v>
      </c>
      <c r="H140" s="7">
        <f t="shared" si="4"/>
        <v>4</v>
      </c>
      <c r="I140" s="7">
        <f t="shared" si="5"/>
        <v>3</v>
      </c>
    </row>
    <row r="141" spans="1:9">
      <c r="A141" s="7" t="s">
        <v>258</v>
      </c>
      <c r="B141" s="7" t="s">
        <v>254</v>
      </c>
      <c r="C141" s="7" t="s">
        <v>259</v>
      </c>
      <c r="D141" s="7" t="s">
        <v>256</v>
      </c>
      <c r="E141" s="7" t="s">
        <v>35</v>
      </c>
      <c r="F141" s="7" t="s">
        <v>12</v>
      </c>
      <c r="G141" s="7">
        <v>75</v>
      </c>
      <c r="H141" s="7">
        <f t="shared" si="4"/>
        <v>4</v>
      </c>
      <c r="I141" s="7">
        <f t="shared" si="5"/>
        <v>3</v>
      </c>
    </row>
    <row r="142" spans="1:9">
      <c r="A142" s="7" t="s">
        <v>260</v>
      </c>
      <c r="B142" s="7" t="s">
        <v>254</v>
      </c>
      <c r="C142" s="7" t="s">
        <v>261</v>
      </c>
      <c r="D142" s="7" t="s">
        <v>262</v>
      </c>
      <c r="E142" s="7" t="s">
        <v>88</v>
      </c>
      <c r="F142" s="7" t="s">
        <v>263</v>
      </c>
      <c r="G142" s="7">
        <v>50</v>
      </c>
      <c r="H142" s="7">
        <f t="shared" si="4"/>
        <v>4</v>
      </c>
      <c r="I142" s="7">
        <f t="shared" si="5"/>
        <v>2</v>
      </c>
    </row>
    <row r="143" spans="1:9">
      <c r="A143" s="7" t="s">
        <v>264</v>
      </c>
      <c r="B143" s="7" t="s">
        <v>254</v>
      </c>
      <c r="C143" s="7" t="s">
        <v>256</v>
      </c>
      <c r="D143" s="7" t="s">
        <v>255</v>
      </c>
      <c r="E143" s="7"/>
      <c r="F143" s="7" t="s">
        <v>12</v>
      </c>
      <c r="G143" s="7">
        <v>75</v>
      </c>
      <c r="H143" s="7">
        <f t="shared" si="4"/>
        <v>4</v>
      </c>
      <c r="I143" s="7">
        <f t="shared" si="5"/>
        <v>3</v>
      </c>
    </row>
    <row r="144" spans="1:9">
      <c r="A144" s="7" t="s">
        <v>265</v>
      </c>
      <c r="B144" s="7" t="s">
        <v>254</v>
      </c>
      <c r="C144" s="7" t="s">
        <v>266</v>
      </c>
      <c r="D144" s="7" t="s">
        <v>256</v>
      </c>
      <c r="E144" s="7" t="s">
        <v>88</v>
      </c>
      <c r="F144" s="7" t="s">
        <v>12</v>
      </c>
      <c r="G144" s="7">
        <v>75</v>
      </c>
      <c r="H144" s="7">
        <f t="shared" si="4"/>
        <v>4</v>
      </c>
      <c r="I144" s="7">
        <f t="shared" si="5"/>
        <v>3</v>
      </c>
    </row>
    <row r="145" spans="1:9">
      <c r="A145" s="7" t="s">
        <v>267</v>
      </c>
      <c r="B145" s="7" t="s">
        <v>254</v>
      </c>
      <c r="C145" s="7" t="s">
        <v>266</v>
      </c>
      <c r="D145" s="7" t="s">
        <v>256</v>
      </c>
      <c r="E145" s="7" t="s">
        <v>88</v>
      </c>
      <c r="F145" s="7" t="s">
        <v>12</v>
      </c>
      <c r="G145" s="7">
        <v>75</v>
      </c>
      <c r="H145" s="7">
        <f t="shared" si="4"/>
        <v>4</v>
      </c>
      <c r="I145" s="7">
        <f t="shared" si="5"/>
        <v>3</v>
      </c>
    </row>
    <row r="146" spans="1:9">
      <c r="A146" s="7" t="s">
        <v>268</v>
      </c>
      <c r="B146" s="7" t="s">
        <v>269</v>
      </c>
      <c r="C146" s="7" t="s">
        <v>270</v>
      </c>
      <c r="D146" s="7" t="s">
        <v>270</v>
      </c>
      <c r="E146" s="7"/>
      <c r="F146" s="7"/>
      <c r="G146" s="7">
        <v>100</v>
      </c>
      <c r="H146" s="7">
        <f t="shared" si="4"/>
        <v>4</v>
      </c>
      <c r="I146" s="7">
        <f t="shared" si="5"/>
        <v>4</v>
      </c>
    </row>
    <row r="147" spans="1:9">
      <c r="A147" s="7" t="s">
        <v>271</v>
      </c>
      <c r="B147" s="7" t="s">
        <v>272</v>
      </c>
      <c r="C147" s="7" t="s">
        <v>273</v>
      </c>
      <c r="D147" s="7" t="s">
        <v>274</v>
      </c>
      <c r="E147" s="7" t="s">
        <v>242</v>
      </c>
      <c r="F147" s="7"/>
      <c r="G147" s="7">
        <v>100</v>
      </c>
      <c r="H147" s="7">
        <f t="shared" si="4"/>
        <v>3</v>
      </c>
      <c r="I147" s="7">
        <f t="shared" si="5"/>
        <v>3</v>
      </c>
    </row>
    <row r="148" spans="1:9">
      <c r="A148" s="7" t="s">
        <v>275</v>
      </c>
      <c r="B148" s="7" t="s">
        <v>272</v>
      </c>
      <c r="C148" s="7" t="s">
        <v>274</v>
      </c>
      <c r="D148" s="7" t="s">
        <v>274</v>
      </c>
      <c r="E148" s="7"/>
      <c r="F148" s="7"/>
      <c r="G148" s="7">
        <v>100</v>
      </c>
      <c r="H148" s="7">
        <f t="shared" si="4"/>
        <v>3</v>
      </c>
      <c r="I148" s="7">
        <f t="shared" si="5"/>
        <v>3</v>
      </c>
    </row>
    <row r="149" spans="1:9">
      <c r="A149" s="7" t="s">
        <v>276</v>
      </c>
      <c r="B149" s="7" t="s">
        <v>270</v>
      </c>
      <c r="C149" s="7" t="s">
        <v>277</v>
      </c>
      <c r="D149" s="7" t="s">
        <v>274</v>
      </c>
      <c r="E149" s="7" t="s">
        <v>12</v>
      </c>
      <c r="F149" s="7" t="s">
        <v>278</v>
      </c>
      <c r="G149" s="7">
        <v>75</v>
      </c>
      <c r="H149" s="7">
        <f t="shared" si="4"/>
        <v>4</v>
      </c>
      <c r="I149" s="7">
        <f t="shared" si="5"/>
        <v>3</v>
      </c>
    </row>
    <row r="150" spans="1:9">
      <c r="A150" s="7" t="s">
        <v>279</v>
      </c>
      <c r="B150" s="7" t="s">
        <v>270</v>
      </c>
      <c r="C150" s="7" t="s">
        <v>269</v>
      </c>
      <c r="D150" s="7" t="s">
        <v>269</v>
      </c>
      <c r="E150" s="7"/>
      <c r="F150" s="7"/>
      <c r="G150" s="7">
        <v>100</v>
      </c>
      <c r="H150" s="7">
        <f t="shared" si="4"/>
        <v>4</v>
      </c>
      <c r="I150" s="7">
        <f t="shared" si="5"/>
        <v>4</v>
      </c>
    </row>
    <row r="151" spans="1:9">
      <c r="A151" s="7" t="s">
        <v>280</v>
      </c>
      <c r="B151" s="7" t="s">
        <v>270</v>
      </c>
      <c r="C151" s="7" t="s">
        <v>281</v>
      </c>
      <c r="D151" s="7" t="s">
        <v>269</v>
      </c>
      <c r="E151" s="7" t="s">
        <v>242</v>
      </c>
      <c r="F151" s="7"/>
      <c r="G151" s="7">
        <v>100</v>
      </c>
      <c r="H151" s="7">
        <f t="shared" si="4"/>
        <v>4</v>
      </c>
      <c r="I151" s="7">
        <f t="shared" si="5"/>
        <v>4</v>
      </c>
    </row>
    <row r="152" spans="1:9">
      <c r="A152" s="7" t="s">
        <v>282</v>
      </c>
      <c r="B152" s="7" t="s">
        <v>270</v>
      </c>
      <c r="C152" s="7" t="s">
        <v>270</v>
      </c>
      <c r="D152" s="7" t="s">
        <v>269</v>
      </c>
      <c r="E152" s="7"/>
      <c r="F152" s="7"/>
      <c r="G152" s="7">
        <v>100</v>
      </c>
      <c r="H152" s="7">
        <f t="shared" si="4"/>
        <v>4</v>
      </c>
      <c r="I152" s="7">
        <f t="shared" si="5"/>
        <v>4</v>
      </c>
    </row>
    <row r="153" spans="1:9">
      <c r="A153" s="7" t="s">
        <v>283</v>
      </c>
      <c r="B153" s="7" t="s">
        <v>270</v>
      </c>
      <c r="C153" s="7" t="s">
        <v>272</v>
      </c>
      <c r="D153" s="7" t="s">
        <v>274</v>
      </c>
      <c r="E153" s="7"/>
      <c r="F153" s="7" t="s">
        <v>278</v>
      </c>
      <c r="G153" s="7">
        <v>75</v>
      </c>
      <c r="H153" s="7">
        <f t="shared" si="4"/>
        <v>4</v>
      </c>
      <c r="I153" s="7">
        <f t="shared" si="5"/>
        <v>3</v>
      </c>
    </row>
    <row r="154" spans="1:9">
      <c r="A154" s="7" t="s">
        <v>284</v>
      </c>
      <c r="B154" s="7" t="s">
        <v>270</v>
      </c>
      <c r="C154" s="7" t="s">
        <v>270</v>
      </c>
      <c r="D154" s="7" t="s">
        <v>269</v>
      </c>
      <c r="E154" s="7"/>
      <c r="F154" s="7"/>
      <c r="G154" s="7">
        <v>100</v>
      </c>
      <c r="H154" s="7">
        <f t="shared" si="4"/>
        <v>4</v>
      </c>
      <c r="I154" s="7">
        <f t="shared" si="5"/>
        <v>4</v>
      </c>
    </row>
    <row r="155" spans="1:9">
      <c r="A155" s="7" t="s">
        <v>285</v>
      </c>
      <c r="B155" s="7" t="s">
        <v>270</v>
      </c>
      <c r="C155" s="7" t="s">
        <v>272</v>
      </c>
      <c r="D155" s="7" t="s">
        <v>274</v>
      </c>
      <c r="E155" s="7"/>
      <c r="F155" s="7" t="s">
        <v>278</v>
      </c>
      <c r="G155" s="7">
        <v>75</v>
      </c>
      <c r="H155" s="7">
        <f t="shared" si="4"/>
        <v>4</v>
      </c>
      <c r="I155" s="7">
        <f t="shared" si="5"/>
        <v>3</v>
      </c>
    </row>
    <row r="156" spans="1:9">
      <c r="A156" s="7" t="s">
        <v>286</v>
      </c>
      <c r="B156" s="7" t="s">
        <v>270</v>
      </c>
      <c r="C156" s="7" t="s">
        <v>272</v>
      </c>
      <c r="D156" s="7" t="s">
        <v>274</v>
      </c>
      <c r="E156" s="7"/>
      <c r="F156" s="7" t="s">
        <v>278</v>
      </c>
      <c r="G156" s="7">
        <v>75</v>
      </c>
      <c r="H156" s="7">
        <f t="shared" si="4"/>
        <v>4</v>
      </c>
      <c r="I156" s="7">
        <f t="shared" si="5"/>
        <v>3</v>
      </c>
    </row>
    <row r="157" spans="1:9">
      <c r="A157" s="7" t="s">
        <v>287</v>
      </c>
      <c r="B157" s="7" t="s">
        <v>270</v>
      </c>
      <c r="C157" s="7" t="s">
        <v>272</v>
      </c>
      <c r="D157" s="7" t="s">
        <v>274</v>
      </c>
      <c r="E157" s="7"/>
      <c r="F157" s="7" t="s">
        <v>278</v>
      </c>
      <c r="G157" s="7">
        <v>75</v>
      </c>
      <c r="H157" s="7">
        <f t="shared" si="4"/>
        <v>4</v>
      </c>
      <c r="I157" s="7">
        <f t="shared" si="5"/>
        <v>3</v>
      </c>
    </row>
    <row r="158" spans="1:9">
      <c r="A158" s="7" t="s">
        <v>288</v>
      </c>
      <c r="B158" s="7" t="s">
        <v>270</v>
      </c>
      <c r="C158" s="7" t="s">
        <v>272</v>
      </c>
      <c r="D158" s="7" t="s">
        <v>274</v>
      </c>
      <c r="E158" s="7"/>
      <c r="F158" s="7" t="s">
        <v>278</v>
      </c>
      <c r="G158" s="7">
        <v>75</v>
      </c>
      <c r="H158" s="7">
        <f t="shared" si="4"/>
        <v>4</v>
      </c>
      <c r="I158" s="7">
        <f t="shared" si="5"/>
        <v>3</v>
      </c>
    </row>
    <row r="159" spans="1:9">
      <c r="A159" s="7" t="s">
        <v>289</v>
      </c>
      <c r="B159" s="7" t="s">
        <v>270</v>
      </c>
      <c r="C159" s="7" t="s">
        <v>270</v>
      </c>
      <c r="D159" s="7" t="s">
        <v>269</v>
      </c>
      <c r="E159" s="7"/>
      <c r="F159" s="7"/>
      <c r="G159" s="7">
        <v>100</v>
      </c>
      <c r="H159" s="7">
        <f t="shared" si="4"/>
        <v>4</v>
      </c>
      <c r="I159" s="7">
        <f t="shared" si="5"/>
        <v>4</v>
      </c>
    </row>
    <row r="160" spans="1:9">
      <c r="A160" s="7" t="s">
        <v>290</v>
      </c>
      <c r="B160" s="7" t="s">
        <v>270</v>
      </c>
      <c r="C160" s="7" t="s">
        <v>274</v>
      </c>
      <c r="D160" s="7" t="s">
        <v>272</v>
      </c>
      <c r="E160" s="7"/>
      <c r="F160" s="7" t="s">
        <v>278</v>
      </c>
      <c r="G160" s="7">
        <v>75</v>
      </c>
      <c r="H160" s="7">
        <f t="shared" si="4"/>
        <v>4</v>
      </c>
      <c r="I160" s="7">
        <f t="shared" si="5"/>
        <v>3</v>
      </c>
    </row>
    <row r="161" spans="1:9">
      <c r="A161" s="7" t="s">
        <v>291</v>
      </c>
      <c r="B161" s="7" t="s">
        <v>270</v>
      </c>
      <c r="C161" s="7" t="s">
        <v>269</v>
      </c>
      <c r="D161" s="7" t="s">
        <v>269</v>
      </c>
      <c r="E161" s="7"/>
      <c r="F161" s="7"/>
      <c r="G161" s="7">
        <v>100</v>
      </c>
      <c r="H161" s="7">
        <f t="shared" si="4"/>
        <v>4</v>
      </c>
      <c r="I161" s="7">
        <f t="shared" si="5"/>
        <v>4</v>
      </c>
    </row>
    <row r="162" spans="1:9">
      <c r="A162" s="7" t="s">
        <v>292</v>
      </c>
      <c r="B162" s="7" t="s">
        <v>270</v>
      </c>
      <c r="C162" s="7" t="s">
        <v>269</v>
      </c>
      <c r="D162" s="7" t="s">
        <v>269</v>
      </c>
      <c r="E162" s="7"/>
      <c r="F162" s="7"/>
      <c r="G162" s="7">
        <v>100</v>
      </c>
      <c r="H162" s="7">
        <f t="shared" si="4"/>
        <v>4</v>
      </c>
      <c r="I162" s="7">
        <f t="shared" si="5"/>
        <v>4</v>
      </c>
    </row>
    <row r="163" spans="1:9">
      <c r="A163" s="7" t="s">
        <v>293</v>
      </c>
      <c r="B163" s="7" t="s">
        <v>270</v>
      </c>
      <c r="C163" s="7" t="s">
        <v>274</v>
      </c>
      <c r="D163" s="7" t="s">
        <v>272</v>
      </c>
      <c r="E163" s="7"/>
      <c r="F163" s="7" t="s">
        <v>278</v>
      </c>
      <c r="G163" s="7">
        <v>75</v>
      </c>
      <c r="H163" s="7">
        <f t="shared" si="4"/>
        <v>4</v>
      </c>
      <c r="I163" s="7">
        <f t="shared" si="5"/>
        <v>3</v>
      </c>
    </row>
    <row r="164" spans="1:9">
      <c r="A164" s="7" t="s">
        <v>294</v>
      </c>
      <c r="B164" s="7" t="s">
        <v>272</v>
      </c>
      <c r="C164" s="7" t="s">
        <v>274</v>
      </c>
      <c r="D164" s="7" t="s">
        <v>274</v>
      </c>
      <c r="E164" s="7"/>
      <c r="F164" s="7"/>
      <c r="G164" s="7">
        <v>100</v>
      </c>
      <c r="H164" s="7">
        <f t="shared" si="4"/>
        <v>3</v>
      </c>
      <c r="I164" s="7">
        <f t="shared" si="5"/>
        <v>3</v>
      </c>
    </row>
    <row r="165" spans="1:9">
      <c r="A165" s="7" t="s">
        <v>295</v>
      </c>
      <c r="B165" s="7" t="s">
        <v>296</v>
      </c>
      <c r="C165" s="7" t="s">
        <v>297</v>
      </c>
      <c r="D165" s="7" t="s">
        <v>297</v>
      </c>
      <c r="E165" s="7"/>
      <c r="F165" s="7" t="s">
        <v>298</v>
      </c>
      <c r="G165" s="7">
        <v>66.67</v>
      </c>
      <c r="H165" s="7">
        <f t="shared" si="4"/>
        <v>6</v>
      </c>
      <c r="I165" s="7">
        <f t="shared" si="5"/>
        <v>4</v>
      </c>
    </row>
    <row r="166" spans="1:9">
      <c r="A166" s="7" t="s">
        <v>299</v>
      </c>
      <c r="B166" s="7" t="s">
        <v>296</v>
      </c>
      <c r="C166" s="7" t="s">
        <v>297</v>
      </c>
      <c r="D166" s="7" t="s">
        <v>297</v>
      </c>
      <c r="E166" s="7"/>
      <c r="F166" s="7" t="s">
        <v>298</v>
      </c>
      <c r="G166" s="7">
        <v>66.67</v>
      </c>
      <c r="H166" s="7">
        <f t="shared" si="4"/>
        <v>6</v>
      </c>
      <c r="I166" s="7">
        <f t="shared" si="5"/>
        <v>4</v>
      </c>
    </row>
    <row r="167" spans="1:9">
      <c r="A167" s="7" t="s">
        <v>300</v>
      </c>
      <c r="B167" s="7" t="s">
        <v>296</v>
      </c>
      <c r="C167" s="7" t="s">
        <v>301</v>
      </c>
      <c r="D167" s="7" t="s">
        <v>302</v>
      </c>
      <c r="E167" s="7"/>
      <c r="F167" s="7" t="s">
        <v>303</v>
      </c>
      <c r="G167" s="7">
        <v>66.67</v>
      </c>
      <c r="H167" s="7">
        <f t="shared" si="4"/>
        <v>6</v>
      </c>
      <c r="I167" s="7">
        <f t="shared" si="5"/>
        <v>4</v>
      </c>
    </row>
    <row r="168" spans="1:9">
      <c r="A168" s="7" t="s">
        <v>304</v>
      </c>
      <c r="B168" s="7" t="s">
        <v>296</v>
      </c>
      <c r="C168" s="7" t="s">
        <v>305</v>
      </c>
      <c r="D168" s="7" t="s">
        <v>305</v>
      </c>
      <c r="E168" s="7"/>
      <c r="F168" s="7" t="s">
        <v>43</v>
      </c>
      <c r="G168" s="7">
        <v>83.33</v>
      </c>
      <c r="H168" s="7">
        <f t="shared" si="4"/>
        <v>6</v>
      </c>
      <c r="I168" s="7">
        <f t="shared" si="5"/>
        <v>5</v>
      </c>
    </row>
    <row r="169" spans="1:9">
      <c r="A169" s="7" t="s">
        <v>306</v>
      </c>
      <c r="B169" s="7" t="s">
        <v>296</v>
      </c>
      <c r="C169" s="7" t="s">
        <v>302</v>
      </c>
      <c r="D169" s="7" t="s">
        <v>301</v>
      </c>
      <c r="E169" s="7"/>
      <c r="F169" s="7" t="s">
        <v>303</v>
      </c>
      <c r="G169" s="7">
        <v>66.67</v>
      </c>
      <c r="H169" s="7">
        <f t="shared" si="4"/>
        <v>6</v>
      </c>
      <c r="I169" s="7">
        <f t="shared" si="5"/>
        <v>4</v>
      </c>
    </row>
    <row r="170" spans="1:9">
      <c r="A170" s="7" t="s">
        <v>307</v>
      </c>
      <c r="B170" s="7" t="s">
        <v>308</v>
      </c>
      <c r="C170" s="7" t="s">
        <v>302</v>
      </c>
      <c r="D170" s="7" t="s">
        <v>309</v>
      </c>
      <c r="E170" s="7" t="s">
        <v>35</v>
      </c>
      <c r="F170" s="7" t="s">
        <v>303</v>
      </c>
      <c r="G170" s="7">
        <v>60</v>
      </c>
      <c r="H170" s="7">
        <f t="shared" si="4"/>
        <v>5</v>
      </c>
      <c r="I170" s="7">
        <f t="shared" si="5"/>
        <v>3</v>
      </c>
    </row>
    <row r="171" spans="1:9">
      <c r="A171" s="7" t="s">
        <v>310</v>
      </c>
      <c r="B171" s="7" t="s">
        <v>311</v>
      </c>
      <c r="C171" s="7" t="s">
        <v>297</v>
      </c>
      <c r="D171" s="7" t="s">
        <v>312</v>
      </c>
      <c r="E171" s="7" t="s">
        <v>35</v>
      </c>
      <c r="F171" s="7" t="s">
        <v>313</v>
      </c>
      <c r="G171" s="7">
        <v>50</v>
      </c>
      <c r="H171" s="7">
        <f t="shared" si="4"/>
        <v>6</v>
      </c>
      <c r="I171" s="7">
        <f t="shared" si="5"/>
        <v>3</v>
      </c>
    </row>
    <row r="172" spans="1:9">
      <c r="A172" s="7" t="s">
        <v>314</v>
      </c>
      <c r="B172" s="7" t="s">
        <v>296</v>
      </c>
      <c r="C172" s="7" t="s">
        <v>305</v>
      </c>
      <c r="D172" s="7" t="s">
        <v>305</v>
      </c>
      <c r="E172" s="7"/>
      <c r="F172" s="7" t="s">
        <v>43</v>
      </c>
      <c r="G172" s="7">
        <v>83.33</v>
      </c>
      <c r="H172" s="7">
        <f t="shared" si="4"/>
        <v>6</v>
      </c>
      <c r="I172" s="7">
        <f t="shared" si="5"/>
        <v>5</v>
      </c>
    </row>
    <row r="173" spans="1:9">
      <c r="A173" s="7" t="s">
        <v>315</v>
      </c>
      <c r="B173" s="7" t="s">
        <v>316</v>
      </c>
      <c r="C173" s="7" t="s">
        <v>317</v>
      </c>
      <c r="D173" s="7" t="s">
        <v>318</v>
      </c>
      <c r="E173" s="7" t="s">
        <v>97</v>
      </c>
      <c r="F173" s="7" t="s">
        <v>98</v>
      </c>
      <c r="G173" s="7">
        <v>75</v>
      </c>
      <c r="H173" s="7">
        <f t="shared" si="4"/>
        <v>4</v>
      </c>
      <c r="I173" s="7">
        <f t="shared" si="5"/>
        <v>3</v>
      </c>
    </row>
    <row r="174" spans="1:9">
      <c r="A174" s="7" t="s">
        <v>319</v>
      </c>
      <c r="B174" s="7" t="s">
        <v>320</v>
      </c>
      <c r="C174" s="7" t="s">
        <v>321</v>
      </c>
      <c r="D174" s="7" t="s">
        <v>322</v>
      </c>
      <c r="E174" s="7"/>
      <c r="F174" s="7" t="s">
        <v>12</v>
      </c>
      <c r="G174" s="7">
        <v>75</v>
      </c>
      <c r="H174" s="7">
        <f t="shared" si="4"/>
        <v>4</v>
      </c>
      <c r="I174" s="7">
        <f t="shared" si="5"/>
        <v>3</v>
      </c>
    </row>
    <row r="175" spans="1:9">
      <c r="A175" s="7" t="s">
        <v>323</v>
      </c>
      <c r="B175" s="7" t="s">
        <v>324</v>
      </c>
      <c r="C175" s="7" t="s">
        <v>321</v>
      </c>
      <c r="D175" s="7" t="s">
        <v>322</v>
      </c>
      <c r="E175" s="7"/>
      <c r="F175" s="7" t="s">
        <v>12</v>
      </c>
      <c r="G175" s="7">
        <v>75</v>
      </c>
      <c r="H175" s="7">
        <f t="shared" si="4"/>
        <v>4</v>
      </c>
      <c r="I175" s="7">
        <f t="shared" si="5"/>
        <v>3</v>
      </c>
    </row>
    <row r="176" spans="1:9">
      <c r="A176" s="7" t="s">
        <v>325</v>
      </c>
      <c r="B176" s="7" t="s">
        <v>320</v>
      </c>
      <c r="C176" s="7" t="s">
        <v>321</v>
      </c>
      <c r="D176" s="7" t="s">
        <v>322</v>
      </c>
      <c r="E176" s="7"/>
      <c r="F176" s="7" t="s">
        <v>12</v>
      </c>
      <c r="G176" s="7">
        <v>75</v>
      </c>
      <c r="H176" s="7">
        <f t="shared" si="4"/>
        <v>4</v>
      </c>
      <c r="I176" s="7">
        <f t="shared" si="5"/>
        <v>3</v>
      </c>
    </row>
    <row r="177" spans="1:9">
      <c r="A177" s="7" t="s">
        <v>326</v>
      </c>
      <c r="B177" s="7" t="s">
        <v>320</v>
      </c>
      <c r="C177" s="7" t="s">
        <v>327</v>
      </c>
      <c r="D177" s="7" t="s">
        <v>317</v>
      </c>
      <c r="E177" s="7" t="s">
        <v>242</v>
      </c>
      <c r="F177" s="7"/>
      <c r="G177" s="7">
        <v>100</v>
      </c>
      <c r="H177" s="7">
        <f t="shared" si="4"/>
        <v>4</v>
      </c>
      <c r="I177" s="7">
        <f t="shared" si="5"/>
        <v>4</v>
      </c>
    </row>
    <row r="178" spans="1:9">
      <c r="A178" s="7" t="s">
        <v>328</v>
      </c>
      <c r="B178" s="7" t="s">
        <v>320</v>
      </c>
      <c r="C178" s="7" t="s">
        <v>322</v>
      </c>
      <c r="D178" s="7" t="s">
        <v>321</v>
      </c>
      <c r="E178" s="7"/>
      <c r="F178" s="7" t="s">
        <v>12</v>
      </c>
      <c r="G178" s="7">
        <v>75</v>
      </c>
      <c r="H178" s="7">
        <f t="shared" si="4"/>
        <v>4</v>
      </c>
      <c r="I178" s="7">
        <f t="shared" si="5"/>
        <v>3</v>
      </c>
    </row>
    <row r="179" spans="1:9">
      <c r="A179" s="7" t="s">
        <v>329</v>
      </c>
      <c r="B179" s="7" t="s">
        <v>316</v>
      </c>
      <c r="C179" s="7" t="s">
        <v>330</v>
      </c>
      <c r="D179" s="7" t="s">
        <v>79</v>
      </c>
      <c r="E179" s="7" t="s">
        <v>331</v>
      </c>
      <c r="F179" s="7" t="s">
        <v>332</v>
      </c>
      <c r="G179" s="7">
        <v>50</v>
      </c>
      <c r="H179" s="7">
        <f t="shared" si="4"/>
        <v>4</v>
      </c>
      <c r="I179" s="7">
        <f t="shared" si="5"/>
        <v>2</v>
      </c>
    </row>
    <row r="180" spans="1:9">
      <c r="A180" s="7" t="s">
        <v>333</v>
      </c>
      <c r="B180" s="7" t="s">
        <v>334</v>
      </c>
      <c r="C180" s="7" t="s">
        <v>335</v>
      </c>
      <c r="D180" s="7" t="s">
        <v>336</v>
      </c>
      <c r="E180" s="7" t="s">
        <v>11</v>
      </c>
      <c r="F180" s="7" t="s">
        <v>278</v>
      </c>
      <c r="G180" s="7">
        <v>66.67</v>
      </c>
      <c r="H180" s="7">
        <f t="shared" si="4"/>
        <v>3</v>
      </c>
      <c r="I180" s="7">
        <f t="shared" si="5"/>
        <v>2</v>
      </c>
    </row>
    <row r="181" spans="1:9">
      <c r="A181" s="7" t="s">
        <v>337</v>
      </c>
      <c r="B181" s="7" t="s">
        <v>335</v>
      </c>
      <c r="C181" s="7" t="s">
        <v>335</v>
      </c>
      <c r="D181" s="7" t="s">
        <v>335</v>
      </c>
      <c r="E181" s="7"/>
      <c r="F181" s="7"/>
      <c r="G181" s="7">
        <v>100</v>
      </c>
      <c r="H181" s="7">
        <f t="shared" si="4"/>
        <v>3</v>
      </c>
      <c r="I181" s="7">
        <f t="shared" si="5"/>
        <v>3</v>
      </c>
    </row>
    <row r="182" spans="1:9">
      <c r="A182" s="7" t="s">
        <v>338</v>
      </c>
      <c r="B182" s="7" t="s">
        <v>339</v>
      </c>
      <c r="C182" s="7" t="s">
        <v>336</v>
      </c>
      <c r="D182" s="7" t="s">
        <v>336</v>
      </c>
      <c r="E182" s="7"/>
      <c r="F182" s="7" t="s">
        <v>340</v>
      </c>
      <c r="G182" s="7">
        <v>50</v>
      </c>
      <c r="H182" s="7">
        <f t="shared" si="4"/>
        <v>4</v>
      </c>
      <c r="I182" s="7">
        <f t="shared" si="5"/>
        <v>2</v>
      </c>
    </row>
    <row r="183" spans="1:9">
      <c r="A183" s="7" t="s">
        <v>341</v>
      </c>
      <c r="B183" s="7" t="s">
        <v>334</v>
      </c>
      <c r="C183" s="7" t="s">
        <v>336</v>
      </c>
      <c r="D183" s="7" t="s">
        <v>336</v>
      </c>
      <c r="E183" s="7"/>
      <c r="F183" s="7" t="s">
        <v>278</v>
      </c>
      <c r="G183" s="7">
        <v>66.67</v>
      </c>
      <c r="H183" s="7">
        <f t="shared" si="4"/>
        <v>3</v>
      </c>
      <c r="I183" s="7">
        <f t="shared" si="5"/>
        <v>2</v>
      </c>
    </row>
    <row r="184" spans="1:9">
      <c r="A184" s="7" t="s">
        <v>342</v>
      </c>
      <c r="B184" s="7" t="s">
        <v>343</v>
      </c>
      <c r="C184" s="7" t="s">
        <v>344</v>
      </c>
      <c r="D184" s="7" t="s">
        <v>345</v>
      </c>
      <c r="E184" s="7" t="s">
        <v>242</v>
      </c>
      <c r="F184" s="7" t="s">
        <v>193</v>
      </c>
      <c r="G184" s="7">
        <v>60</v>
      </c>
      <c r="H184" s="7">
        <f t="shared" si="4"/>
        <v>5</v>
      </c>
      <c r="I184" s="7">
        <f t="shared" si="5"/>
        <v>3</v>
      </c>
    </row>
    <row r="185" spans="1:9">
      <c r="A185" s="7" t="s">
        <v>346</v>
      </c>
      <c r="B185" s="7" t="s">
        <v>347</v>
      </c>
      <c r="C185" s="7" t="s">
        <v>348</v>
      </c>
      <c r="D185" s="7" t="s">
        <v>348</v>
      </c>
      <c r="E185" s="7"/>
      <c r="F185" s="7" t="s">
        <v>79</v>
      </c>
      <c r="G185" s="7">
        <v>60</v>
      </c>
      <c r="H185" s="7">
        <f t="shared" si="4"/>
        <v>5</v>
      </c>
      <c r="I185" s="7">
        <f t="shared" si="5"/>
        <v>3</v>
      </c>
    </row>
    <row r="186" spans="1:9">
      <c r="A186" s="7" t="s">
        <v>349</v>
      </c>
      <c r="B186" s="7" t="s">
        <v>347</v>
      </c>
      <c r="C186" s="7" t="s">
        <v>350</v>
      </c>
      <c r="D186" s="7" t="s">
        <v>344</v>
      </c>
      <c r="E186" s="7"/>
      <c r="F186" s="7" t="s">
        <v>12</v>
      </c>
      <c r="G186" s="7">
        <v>80</v>
      </c>
      <c r="H186" s="7">
        <f t="shared" si="4"/>
        <v>5</v>
      </c>
      <c r="I186" s="7">
        <f t="shared" si="5"/>
        <v>4</v>
      </c>
    </row>
    <row r="187" spans="1:9">
      <c r="A187" s="7" t="s">
        <v>351</v>
      </c>
      <c r="B187" s="7" t="s">
        <v>347</v>
      </c>
      <c r="C187" s="7" t="s">
        <v>352</v>
      </c>
      <c r="D187" s="7" t="s">
        <v>348</v>
      </c>
      <c r="E187" s="7" t="s">
        <v>11</v>
      </c>
      <c r="F187" s="7" t="s">
        <v>79</v>
      </c>
      <c r="G187" s="7">
        <v>60</v>
      </c>
      <c r="H187" s="7">
        <f t="shared" si="4"/>
        <v>5</v>
      </c>
      <c r="I187" s="7">
        <f t="shared" si="5"/>
        <v>3</v>
      </c>
    </row>
    <row r="188" spans="1:9">
      <c r="A188" s="7" t="s">
        <v>353</v>
      </c>
      <c r="B188" s="7" t="s">
        <v>354</v>
      </c>
      <c r="C188" s="7" t="s">
        <v>348</v>
      </c>
      <c r="D188" s="7" t="s">
        <v>355</v>
      </c>
      <c r="E188" s="7" t="s">
        <v>242</v>
      </c>
      <c r="F188" s="7" t="s">
        <v>356</v>
      </c>
      <c r="G188" s="7">
        <v>40</v>
      </c>
      <c r="H188" s="7">
        <f t="shared" si="4"/>
        <v>5</v>
      </c>
      <c r="I188" s="7">
        <f t="shared" si="5"/>
        <v>2</v>
      </c>
    </row>
    <row r="189" spans="1:9">
      <c r="A189" s="7" t="s">
        <v>357</v>
      </c>
      <c r="B189" s="7" t="s">
        <v>358</v>
      </c>
      <c r="C189" s="7" t="s">
        <v>348</v>
      </c>
      <c r="D189" s="7" t="s">
        <v>348</v>
      </c>
      <c r="E189" s="7"/>
      <c r="F189" s="7" t="s">
        <v>88</v>
      </c>
      <c r="G189" s="7">
        <v>75</v>
      </c>
      <c r="H189" s="7">
        <f t="shared" si="4"/>
        <v>4</v>
      </c>
      <c r="I189" s="7">
        <f t="shared" si="5"/>
        <v>3</v>
      </c>
    </row>
    <row r="190" spans="1:9">
      <c r="A190" s="7" t="s">
        <v>359</v>
      </c>
      <c r="B190" s="7" t="s">
        <v>343</v>
      </c>
      <c r="C190" s="7" t="s">
        <v>352</v>
      </c>
      <c r="D190" s="7" t="s">
        <v>360</v>
      </c>
      <c r="E190" s="7" t="s">
        <v>242</v>
      </c>
      <c r="F190" s="7" t="s">
        <v>209</v>
      </c>
      <c r="G190" s="7">
        <v>60</v>
      </c>
      <c r="H190" s="7">
        <f t="shared" si="4"/>
        <v>5</v>
      </c>
      <c r="I190" s="7">
        <f t="shared" si="5"/>
        <v>3</v>
      </c>
    </row>
    <row r="191" spans="1:9">
      <c r="A191" s="7" t="s">
        <v>361</v>
      </c>
      <c r="B191" s="7" t="s">
        <v>347</v>
      </c>
      <c r="C191" s="7" t="s">
        <v>348</v>
      </c>
      <c r="D191" s="7" t="s">
        <v>348</v>
      </c>
      <c r="E191" s="7"/>
      <c r="F191" s="7" t="s">
        <v>79</v>
      </c>
      <c r="G191" s="7">
        <v>60</v>
      </c>
      <c r="H191" s="7">
        <f t="shared" si="4"/>
        <v>5</v>
      </c>
      <c r="I191" s="7">
        <f t="shared" si="5"/>
        <v>3</v>
      </c>
    </row>
    <row r="192" spans="1:9">
      <c r="A192" s="7" t="s">
        <v>362</v>
      </c>
      <c r="B192" s="7" t="s">
        <v>343</v>
      </c>
      <c r="C192" s="7" t="s">
        <v>363</v>
      </c>
      <c r="D192" s="7" t="s">
        <v>364</v>
      </c>
      <c r="E192" s="7" t="s">
        <v>242</v>
      </c>
      <c r="F192" s="7" t="s">
        <v>209</v>
      </c>
      <c r="G192" s="7">
        <v>60</v>
      </c>
      <c r="H192" s="7">
        <f t="shared" si="4"/>
        <v>5</v>
      </c>
      <c r="I192" s="7">
        <f t="shared" si="5"/>
        <v>3</v>
      </c>
    </row>
    <row r="193" spans="1:9">
      <c r="A193" s="7" t="s">
        <v>365</v>
      </c>
      <c r="B193" s="7" t="s">
        <v>366</v>
      </c>
      <c r="C193" s="7" t="s">
        <v>363</v>
      </c>
      <c r="D193" s="7" t="s">
        <v>352</v>
      </c>
      <c r="E193" s="7"/>
      <c r="F193" s="7" t="s">
        <v>88</v>
      </c>
      <c r="G193" s="7">
        <v>80</v>
      </c>
      <c r="H193" s="7">
        <f t="shared" si="4"/>
        <v>5</v>
      </c>
      <c r="I193" s="7">
        <f t="shared" si="5"/>
        <v>4</v>
      </c>
    </row>
    <row r="194" spans="1:9">
      <c r="A194" s="7" t="s">
        <v>367</v>
      </c>
      <c r="B194" s="7" t="s">
        <v>347</v>
      </c>
      <c r="C194" s="7" t="s">
        <v>348</v>
      </c>
      <c r="D194" s="7" t="s">
        <v>348</v>
      </c>
      <c r="E194" s="7"/>
      <c r="F194" s="7" t="s">
        <v>79</v>
      </c>
      <c r="G194" s="7">
        <v>60</v>
      </c>
      <c r="H194" s="7">
        <f t="shared" ref="H194:H197" si="6">IF(B194="",0,LEN(B194)-LEN(SUBSTITUTE(B194,",",""))+1)</f>
        <v>5</v>
      </c>
      <c r="I194" s="7">
        <f t="shared" ref="I194:I197" si="7">IF(D194="",0,LEN(D194)-LEN(SUBSTITUTE(D194,",",""))+1)</f>
        <v>3</v>
      </c>
    </row>
    <row r="195" spans="1:9">
      <c r="A195" s="7" t="s">
        <v>368</v>
      </c>
      <c r="B195" s="7" t="s">
        <v>347</v>
      </c>
      <c r="C195" s="7" t="s">
        <v>344</v>
      </c>
      <c r="D195" s="7" t="s">
        <v>350</v>
      </c>
      <c r="E195" s="7"/>
      <c r="F195" s="7" t="s">
        <v>12</v>
      </c>
      <c r="G195" s="7">
        <v>80</v>
      </c>
      <c r="H195" s="7">
        <f t="shared" si="6"/>
        <v>5</v>
      </c>
      <c r="I195" s="7">
        <f t="shared" si="7"/>
        <v>4</v>
      </c>
    </row>
    <row r="196" spans="1:9">
      <c r="A196" s="7" t="s">
        <v>369</v>
      </c>
      <c r="B196" s="7" t="s">
        <v>347</v>
      </c>
      <c r="C196" s="7" t="s">
        <v>344</v>
      </c>
      <c r="D196" s="7" t="s">
        <v>350</v>
      </c>
      <c r="E196" s="7"/>
      <c r="F196" s="7" t="s">
        <v>12</v>
      </c>
      <c r="G196" s="7">
        <v>80</v>
      </c>
      <c r="H196" s="7">
        <f t="shared" si="6"/>
        <v>5</v>
      </c>
      <c r="I196" s="7">
        <f t="shared" si="7"/>
        <v>4</v>
      </c>
    </row>
    <row r="197" spans="1:9">
      <c r="F197" s="3" t="s">
        <v>512</v>
      </c>
      <c r="G197" s="2">
        <f>AVERAGE(G2:G196)</f>
        <v>75.897641025641036</v>
      </c>
    </row>
    <row r="198" spans="1:9">
      <c r="F198" s="3" t="s">
        <v>513</v>
      </c>
      <c r="G198" s="2">
        <f>SUM(I2:I196)/SUM(H2:H196)*100</f>
        <v>73.268529769137302</v>
      </c>
    </row>
    <row r="200" spans="1:9" ht="60">
      <c r="F200" s="4" t="s">
        <v>514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AE2E8-E777-4CE6-870E-8B836A250327}">
  <dimension ref="A1:G95"/>
  <sheetViews>
    <sheetView tabSelected="1" workbookViewId="0">
      <selection activeCell="K8" sqref="K8"/>
    </sheetView>
  </sheetViews>
  <sheetFormatPr defaultRowHeight="15"/>
  <cols>
    <col min="1" max="1" width="28.140625" customWidth="1"/>
    <col min="2" max="2" width="51.42578125" bestFit="1" customWidth="1"/>
    <col min="3" max="3" width="69.7109375" bestFit="1" customWidth="1"/>
    <col min="4" max="4" width="30" bestFit="1" customWidth="1"/>
    <col min="5" max="5" width="61.7109375" bestFit="1" customWidth="1"/>
    <col min="6" max="6" width="27.7109375" bestFit="1" customWidth="1"/>
    <col min="7" max="7" width="11.855468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370</v>
      </c>
      <c r="C2" t="s">
        <v>350</v>
      </c>
      <c r="E2" t="s">
        <v>350</v>
      </c>
      <c r="G2">
        <v>0</v>
      </c>
    </row>
    <row r="3" spans="1:7">
      <c r="A3" t="s">
        <v>371</v>
      </c>
      <c r="C3" t="s">
        <v>350</v>
      </c>
      <c r="E3" t="s">
        <v>350</v>
      </c>
      <c r="G3">
        <v>0</v>
      </c>
    </row>
    <row r="4" spans="1:7">
      <c r="A4" t="s">
        <v>372</v>
      </c>
      <c r="C4" t="s">
        <v>373</v>
      </c>
      <c r="E4" t="s">
        <v>345</v>
      </c>
      <c r="G4">
        <v>0</v>
      </c>
    </row>
    <row r="5" spans="1:7">
      <c r="A5" t="s">
        <v>374</v>
      </c>
      <c r="C5" t="s">
        <v>373</v>
      </c>
      <c r="E5" t="s">
        <v>345</v>
      </c>
      <c r="G5">
        <v>0</v>
      </c>
    </row>
    <row r="6" spans="1:7">
      <c r="A6" t="s">
        <v>375</v>
      </c>
      <c r="B6" t="s">
        <v>347</v>
      </c>
      <c r="C6" t="s">
        <v>373</v>
      </c>
      <c r="D6" t="s">
        <v>345</v>
      </c>
      <c r="F6" t="s">
        <v>376</v>
      </c>
      <c r="G6">
        <v>60</v>
      </c>
    </row>
    <row r="7" spans="1:7">
      <c r="A7" t="s">
        <v>377</v>
      </c>
      <c r="C7" t="s">
        <v>344</v>
      </c>
      <c r="E7" t="s">
        <v>344</v>
      </c>
      <c r="G7">
        <v>0</v>
      </c>
    </row>
    <row r="8" spans="1:7">
      <c r="A8" t="s">
        <v>378</v>
      </c>
      <c r="C8" t="s">
        <v>379</v>
      </c>
      <c r="E8" t="s">
        <v>379</v>
      </c>
      <c r="G8">
        <v>0</v>
      </c>
    </row>
    <row r="9" spans="1:7">
      <c r="A9" t="s">
        <v>380</v>
      </c>
      <c r="B9" t="s">
        <v>381</v>
      </c>
      <c r="C9" t="s">
        <v>376</v>
      </c>
      <c r="D9" t="s">
        <v>12</v>
      </c>
      <c r="E9" t="s">
        <v>242</v>
      </c>
      <c r="F9" t="s">
        <v>382</v>
      </c>
      <c r="G9">
        <v>33.33</v>
      </c>
    </row>
    <row r="10" spans="1:7">
      <c r="A10" t="s">
        <v>383</v>
      </c>
      <c r="C10" t="s">
        <v>384</v>
      </c>
      <c r="E10" t="s">
        <v>385</v>
      </c>
      <c r="G10">
        <v>0</v>
      </c>
    </row>
    <row r="11" spans="1:7">
      <c r="A11" t="s">
        <v>386</v>
      </c>
      <c r="B11" t="s">
        <v>381</v>
      </c>
      <c r="C11" t="s">
        <v>278</v>
      </c>
      <c r="D11" t="s">
        <v>278</v>
      </c>
      <c r="F11" t="s">
        <v>387</v>
      </c>
      <c r="G11">
        <v>33.33</v>
      </c>
    </row>
    <row r="12" spans="1:7">
      <c r="A12" t="s">
        <v>388</v>
      </c>
      <c r="C12" t="s">
        <v>121</v>
      </c>
      <c r="E12" t="s">
        <v>121</v>
      </c>
      <c r="G12">
        <v>0</v>
      </c>
    </row>
    <row r="13" spans="1:7">
      <c r="A13" t="s">
        <v>389</v>
      </c>
      <c r="B13" t="s">
        <v>390</v>
      </c>
      <c r="C13" t="s">
        <v>391</v>
      </c>
      <c r="D13" t="s">
        <v>391</v>
      </c>
      <c r="F13" t="s">
        <v>12</v>
      </c>
      <c r="G13">
        <v>66.67</v>
      </c>
    </row>
    <row r="14" spans="1:7">
      <c r="A14" t="s">
        <v>392</v>
      </c>
      <c r="B14" t="s">
        <v>390</v>
      </c>
      <c r="C14" t="s">
        <v>121</v>
      </c>
      <c r="D14" t="s">
        <v>121</v>
      </c>
      <c r="F14" t="s">
        <v>393</v>
      </c>
      <c r="G14">
        <v>33.33</v>
      </c>
    </row>
    <row r="15" spans="1:7">
      <c r="A15" t="s">
        <v>394</v>
      </c>
      <c r="C15" t="s">
        <v>121</v>
      </c>
      <c r="E15" t="s">
        <v>121</v>
      </c>
      <c r="G15">
        <v>0</v>
      </c>
    </row>
    <row r="16" spans="1:7">
      <c r="A16" t="s">
        <v>395</v>
      </c>
      <c r="C16" t="s">
        <v>396</v>
      </c>
      <c r="E16" t="s">
        <v>396</v>
      </c>
      <c r="G16">
        <v>0</v>
      </c>
    </row>
    <row r="17" spans="1:7">
      <c r="A17" t="s">
        <v>397</v>
      </c>
      <c r="C17" t="s">
        <v>121</v>
      </c>
      <c r="E17" t="s">
        <v>121</v>
      </c>
      <c r="G17">
        <v>0</v>
      </c>
    </row>
    <row r="18" spans="1:7">
      <c r="A18" t="s">
        <v>398</v>
      </c>
      <c r="C18" t="s">
        <v>121</v>
      </c>
      <c r="E18" t="s">
        <v>121</v>
      </c>
      <c r="G18">
        <v>0</v>
      </c>
    </row>
    <row r="19" spans="1:7">
      <c r="A19" t="s">
        <v>399</v>
      </c>
      <c r="C19" t="s">
        <v>396</v>
      </c>
      <c r="E19" t="s">
        <v>396</v>
      </c>
      <c r="G19">
        <v>0</v>
      </c>
    </row>
    <row r="20" spans="1:7">
      <c r="A20" t="s">
        <v>400</v>
      </c>
      <c r="C20" t="s">
        <v>391</v>
      </c>
      <c r="E20" t="s">
        <v>391</v>
      </c>
      <c r="G20">
        <v>0</v>
      </c>
    </row>
    <row r="21" spans="1:7">
      <c r="A21" t="s">
        <v>401</v>
      </c>
      <c r="C21" t="s">
        <v>121</v>
      </c>
      <c r="E21" t="s">
        <v>121</v>
      </c>
      <c r="G21">
        <v>0</v>
      </c>
    </row>
    <row r="22" spans="1:7">
      <c r="A22" t="s">
        <v>402</v>
      </c>
      <c r="C22" t="s">
        <v>121</v>
      </c>
      <c r="E22" t="s">
        <v>121</v>
      </c>
      <c r="G22">
        <v>0</v>
      </c>
    </row>
    <row r="23" spans="1:7">
      <c r="A23" t="s">
        <v>403</v>
      </c>
      <c r="C23" t="s">
        <v>121</v>
      </c>
      <c r="E23" t="s">
        <v>121</v>
      </c>
      <c r="G23">
        <v>0</v>
      </c>
    </row>
    <row r="24" spans="1:7">
      <c r="A24" t="s">
        <v>404</v>
      </c>
      <c r="C24" t="s">
        <v>405</v>
      </c>
      <c r="E24" t="s">
        <v>405</v>
      </c>
      <c r="G24">
        <v>0</v>
      </c>
    </row>
    <row r="25" spans="1:7">
      <c r="A25" t="s">
        <v>406</v>
      </c>
      <c r="B25" t="s">
        <v>65</v>
      </c>
      <c r="C25" t="s">
        <v>65</v>
      </c>
      <c r="D25" t="s">
        <v>65</v>
      </c>
      <c r="G25">
        <v>100</v>
      </c>
    </row>
    <row r="26" spans="1:7">
      <c r="A26" t="s">
        <v>407</v>
      </c>
      <c r="C26" t="s">
        <v>109</v>
      </c>
      <c r="E26" t="s">
        <v>109</v>
      </c>
      <c r="G26">
        <v>0</v>
      </c>
    </row>
    <row r="27" spans="1:7">
      <c r="A27" t="s">
        <v>408</v>
      </c>
      <c r="C27" t="s">
        <v>65</v>
      </c>
      <c r="E27" t="s">
        <v>65</v>
      </c>
      <c r="G27">
        <v>0</v>
      </c>
    </row>
    <row r="28" spans="1:7">
      <c r="A28" t="s">
        <v>409</v>
      </c>
      <c r="C28" t="s">
        <v>34</v>
      </c>
      <c r="E28" t="s">
        <v>34</v>
      </c>
      <c r="G28">
        <v>0</v>
      </c>
    </row>
    <row r="29" spans="1:7">
      <c r="A29" t="s">
        <v>410</v>
      </c>
      <c r="C29" t="s">
        <v>411</v>
      </c>
      <c r="E29" t="s">
        <v>411</v>
      </c>
      <c r="G29">
        <v>0</v>
      </c>
    </row>
    <row r="30" spans="1:7">
      <c r="A30" t="s">
        <v>412</v>
      </c>
      <c r="C30" t="s">
        <v>34</v>
      </c>
      <c r="E30" t="s">
        <v>34</v>
      </c>
      <c r="G30">
        <v>0</v>
      </c>
    </row>
    <row r="31" spans="1:7">
      <c r="A31" t="s">
        <v>413</v>
      </c>
      <c r="C31" t="s">
        <v>414</v>
      </c>
      <c r="E31" t="s">
        <v>414</v>
      </c>
      <c r="G31">
        <v>0</v>
      </c>
    </row>
    <row r="32" spans="1:7">
      <c r="A32" t="s">
        <v>415</v>
      </c>
      <c r="C32" t="s">
        <v>416</v>
      </c>
      <c r="E32" t="s">
        <v>416</v>
      </c>
      <c r="G32">
        <v>0</v>
      </c>
    </row>
    <row r="33" spans="1:7">
      <c r="A33" t="s">
        <v>417</v>
      </c>
      <c r="C33" t="s">
        <v>332</v>
      </c>
      <c r="E33" t="s">
        <v>332</v>
      </c>
      <c r="G33">
        <v>0</v>
      </c>
    </row>
    <row r="34" spans="1:7">
      <c r="A34" t="s">
        <v>418</v>
      </c>
      <c r="B34" t="s">
        <v>379</v>
      </c>
      <c r="C34" t="s">
        <v>332</v>
      </c>
      <c r="D34" t="s">
        <v>43</v>
      </c>
      <c r="E34" t="s">
        <v>98</v>
      </c>
      <c r="F34" t="s">
        <v>278</v>
      </c>
      <c r="G34">
        <v>50</v>
      </c>
    </row>
    <row r="35" spans="1:7">
      <c r="A35" t="s">
        <v>419</v>
      </c>
      <c r="B35" t="s">
        <v>420</v>
      </c>
      <c r="C35" t="s">
        <v>421</v>
      </c>
      <c r="D35" t="s">
        <v>422</v>
      </c>
      <c r="E35" t="s">
        <v>423</v>
      </c>
      <c r="F35" t="s">
        <v>183</v>
      </c>
      <c r="G35">
        <v>66.67</v>
      </c>
    </row>
    <row r="36" spans="1:7">
      <c r="A36" t="s">
        <v>424</v>
      </c>
      <c r="C36" t="s">
        <v>425</v>
      </c>
      <c r="E36" t="s">
        <v>425</v>
      </c>
      <c r="G36">
        <v>0</v>
      </c>
    </row>
    <row r="37" spans="1:7">
      <c r="A37" t="s">
        <v>426</v>
      </c>
      <c r="C37" t="s">
        <v>427</v>
      </c>
      <c r="E37" t="s">
        <v>427</v>
      </c>
      <c r="G37">
        <v>0</v>
      </c>
    </row>
    <row r="38" spans="1:7">
      <c r="A38" t="s">
        <v>428</v>
      </c>
      <c r="C38" t="s">
        <v>425</v>
      </c>
      <c r="E38" t="s">
        <v>425</v>
      </c>
      <c r="G38">
        <v>0</v>
      </c>
    </row>
    <row r="39" spans="1:7">
      <c r="A39" t="s">
        <v>429</v>
      </c>
      <c r="C39" t="s">
        <v>425</v>
      </c>
      <c r="E39" t="s">
        <v>425</v>
      </c>
      <c r="G39">
        <v>0</v>
      </c>
    </row>
    <row r="40" spans="1:7">
      <c r="A40" t="s">
        <v>430</v>
      </c>
      <c r="C40" t="s">
        <v>427</v>
      </c>
      <c r="E40" t="s">
        <v>427</v>
      </c>
      <c r="G40">
        <v>0</v>
      </c>
    </row>
    <row r="41" spans="1:7">
      <c r="A41" t="s">
        <v>431</v>
      </c>
      <c r="C41" t="s">
        <v>425</v>
      </c>
      <c r="E41" t="s">
        <v>425</v>
      </c>
      <c r="G41">
        <v>0</v>
      </c>
    </row>
    <row r="42" spans="1:7">
      <c r="A42" t="s">
        <v>432</v>
      </c>
      <c r="C42" t="s">
        <v>10</v>
      </c>
      <c r="E42" t="s">
        <v>10</v>
      </c>
      <c r="G42">
        <v>0</v>
      </c>
    </row>
    <row r="43" spans="1:7">
      <c r="A43" t="s">
        <v>433</v>
      </c>
      <c r="C43" t="s">
        <v>8</v>
      </c>
      <c r="E43" t="s">
        <v>8</v>
      </c>
      <c r="G43">
        <v>0</v>
      </c>
    </row>
    <row r="44" spans="1:7">
      <c r="A44" t="s">
        <v>434</v>
      </c>
      <c r="C44" t="s">
        <v>435</v>
      </c>
      <c r="E44" t="s">
        <v>435</v>
      </c>
      <c r="G44">
        <v>0</v>
      </c>
    </row>
    <row r="45" spans="1:7">
      <c r="A45" t="s">
        <v>436</v>
      </c>
      <c r="C45" t="s">
        <v>387</v>
      </c>
      <c r="E45" t="s">
        <v>387</v>
      </c>
      <c r="G45">
        <v>0</v>
      </c>
    </row>
    <row r="46" spans="1:7">
      <c r="A46" t="s">
        <v>437</v>
      </c>
      <c r="C46" t="s">
        <v>8</v>
      </c>
      <c r="E46" t="s">
        <v>8</v>
      </c>
      <c r="G46">
        <v>0</v>
      </c>
    </row>
    <row r="47" spans="1:7">
      <c r="A47" t="s">
        <v>438</v>
      </c>
      <c r="C47" t="s">
        <v>439</v>
      </c>
      <c r="E47" t="s">
        <v>439</v>
      </c>
      <c r="G47">
        <v>0</v>
      </c>
    </row>
    <row r="48" spans="1:7">
      <c r="A48" t="s">
        <v>440</v>
      </c>
      <c r="C48" t="s">
        <v>8</v>
      </c>
      <c r="E48" t="s">
        <v>8</v>
      </c>
      <c r="G48">
        <v>0</v>
      </c>
    </row>
    <row r="49" spans="1:7">
      <c r="A49" t="s">
        <v>441</v>
      </c>
      <c r="C49" t="s">
        <v>442</v>
      </c>
      <c r="E49" t="s">
        <v>442</v>
      </c>
      <c r="G49">
        <v>0</v>
      </c>
    </row>
    <row r="50" spans="1:7">
      <c r="A50" t="s">
        <v>443</v>
      </c>
      <c r="C50" t="s">
        <v>444</v>
      </c>
      <c r="E50" t="s">
        <v>444</v>
      </c>
      <c r="G50">
        <v>0</v>
      </c>
    </row>
    <row r="51" spans="1:7">
      <c r="A51" t="s">
        <v>445</v>
      </c>
      <c r="C51" t="s">
        <v>8</v>
      </c>
      <c r="E51" t="s">
        <v>8</v>
      </c>
      <c r="G51">
        <v>0</v>
      </c>
    </row>
    <row r="52" spans="1:7">
      <c r="A52" t="s">
        <v>446</v>
      </c>
      <c r="C52" t="s">
        <v>447</v>
      </c>
      <c r="E52" t="s">
        <v>447</v>
      </c>
      <c r="G52">
        <v>0</v>
      </c>
    </row>
    <row r="53" spans="1:7">
      <c r="A53" t="s">
        <v>448</v>
      </c>
      <c r="C53" t="s">
        <v>449</v>
      </c>
      <c r="E53" t="s">
        <v>449</v>
      </c>
      <c r="G53">
        <v>0</v>
      </c>
    </row>
    <row r="54" spans="1:7">
      <c r="A54" t="s">
        <v>450</v>
      </c>
      <c r="C54" t="s">
        <v>447</v>
      </c>
      <c r="E54" t="s">
        <v>447</v>
      </c>
      <c r="G54">
        <v>0</v>
      </c>
    </row>
    <row r="55" spans="1:7">
      <c r="A55" t="s">
        <v>451</v>
      </c>
      <c r="C55" t="s">
        <v>442</v>
      </c>
      <c r="E55" t="s">
        <v>442</v>
      </c>
      <c r="G55">
        <v>0</v>
      </c>
    </row>
    <row r="56" spans="1:7">
      <c r="A56" t="s">
        <v>452</v>
      </c>
      <c r="C56" t="s">
        <v>453</v>
      </c>
      <c r="E56" t="s">
        <v>453</v>
      </c>
      <c r="G56">
        <v>0</v>
      </c>
    </row>
    <row r="57" spans="1:7">
      <c r="A57" t="s">
        <v>454</v>
      </c>
      <c r="C57" t="s">
        <v>447</v>
      </c>
      <c r="E57" t="s">
        <v>447</v>
      </c>
      <c r="G57">
        <v>0</v>
      </c>
    </row>
    <row r="58" spans="1:7">
      <c r="A58" t="s">
        <v>455</v>
      </c>
      <c r="C58" t="s">
        <v>387</v>
      </c>
      <c r="E58" t="s">
        <v>387</v>
      </c>
      <c r="G58">
        <v>0</v>
      </c>
    </row>
    <row r="59" spans="1:7">
      <c r="A59" t="s">
        <v>456</v>
      </c>
      <c r="C59" t="s">
        <v>449</v>
      </c>
      <c r="E59" t="s">
        <v>449</v>
      </c>
      <c r="G59">
        <v>0</v>
      </c>
    </row>
    <row r="60" spans="1:7">
      <c r="A60" t="s">
        <v>457</v>
      </c>
      <c r="C60" t="s">
        <v>458</v>
      </c>
      <c r="E60" t="s">
        <v>458</v>
      </c>
      <c r="G60">
        <v>0</v>
      </c>
    </row>
    <row r="61" spans="1:7">
      <c r="A61" t="s">
        <v>459</v>
      </c>
      <c r="C61" t="s">
        <v>460</v>
      </c>
      <c r="E61" t="s">
        <v>460</v>
      </c>
      <c r="G61">
        <v>0</v>
      </c>
    </row>
    <row r="62" spans="1:7">
      <c r="A62" t="s">
        <v>461</v>
      </c>
      <c r="C62" t="s">
        <v>462</v>
      </c>
      <c r="E62" t="s">
        <v>462</v>
      </c>
      <c r="G62">
        <v>0</v>
      </c>
    </row>
    <row r="63" spans="1:7">
      <c r="A63" t="s">
        <v>463</v>
      </c>
      <c r="C63" t="s">
        <v>387</v>
      </c>
      <c r="E63" t="s">
        <v>387</v>
      </c>
      <c r="G63">
        <v>0</v>
      </c>
    </row>
    <row r="64" spans="1:7">
      <c r="A64" t="s">
        <v>464</v>
      </c>
      <c r="C64" t="s">
        <v>465</v>
      </c>
      <c r="E64" t="s">
        <v>465</v>
      </c>
      <c r="G64">
        <v>0</v>
      </c>
    </row>
    <row r="65" spans="1:7">
      <c r="A65" t="s">
        <v>466</v>
      </c>
      <c r="C65" t="s">
        <v>387</v>
      </c>
      <c r="E65" t="s">
        <v>387</v>
      </c>
      <c r="G65">
        <v>0</v>
      </c>
    </row>
    <row r="66" spans="1:7">
      <c r="A66" t="s">
        <v>467</v>
      </c>
      <c r="C66" t="s">
        <v>468</v>
      </c>
      <c r="E66" t="s">
        <v>468</v>
      </c>
      <c r="G66">
        <v>0</v>
      </c>
    </row>
    <row r="67" spans="1:7">
      <c r="A67" t="s">
        <v>469</v>
      </c>
      <c r="C67" t="s">
        <v>376</v>
      </c>
      <c r="E67" t="s">
        <v>376</v>
      </c>
      <c r="G67">
        <v>0</v>
      </c>
    </row>
    <row r="68" spans="1:7">
      <c r="A68" t="s">
        <v>470</v>
      </c>
      <c r="C68" t="s">
        <v>376</v>
      </c>
      <c r="E68" t="s">
        <v>376</v>
      </c>
      <c r="G68">
        <v>0</v>
      </c>
    </row>
    <row r="69" spans="1:7">
      <c r="A69" t="s">
        <v>471</v>
      </c>
      <c r="C69" t="s">
        <v>376</v>
      </c>
      <c r="E69" t="s">
        <v>376</v>
      </c>
      <c r="G69">
        <v>0</v>
      </c>
    </row>
    <row r="70" spans="1:7">
      <c r="A70" t="s">
        <v>472</v>
      </c>
      <c r="C70" t="s">
        <v>376</v>
      </c>
      <c r="E70" t="s">
        <v>376</v>
      </c>
      <c r="G70">
        <v>0</v>
      </c>
    </row>
    <row r="71" spans="1:7">
      <c r="A71" t="s">
        <v>473</v>
      </c>
      <c r="C71" t="s">
        <v>376</v>
      </c>
      <c r="E71" t="s">
        <v>376</v>
      </c>
      <c r="G71">
        <v>0</v>
      </c>
    </row>
    <row r="72" spans="1:7">
      <c r="A72" t="s">
        <v>474</v>
      </c>
      <c r="C72" t="s">
        <v>376</v>
      </c>
      <c r="E72" t="s">
        <v>376</v>
      </c>
      <c r="G72">
        <v>0</v>
      </c>
    </row>
    <row r="73" spans="1:7">
      <c r="A73" t="s">
        <v>475</v>
      </c>
      <c r="C73" t="s">
        <v>476</v>
      </c>
      <c r="E73" t="s">
        <v>476</v>
      </c>
      <c r="G73">
        <v>0</v>
      </c>
    </row>
    <row r="74" spans="1:7">
      <c r="A74" t="s">
        <v>477</v>
      </c>
      <c r="C74" t="s">
        <v>478</v>
      </c>
      <c r="E74" t="s">
        <v>478</v>
      </c>
      <c r="G74">
        <v>0</v>
      </c>
    </row>
    <row r="75" spans="1:7">
      <c r="A75" t="s">
        <v>479</v>
      </c>
      <c r="C75" t="s">
        <v>476</v>
      </c>
      <c r="E75" t="s">
        <v>476</v>
      </c>
      <c r="G75">
        <v>0</v>
      </c>
    </row>
    <row r="76" spans="1:7">
      <c r="A76" t="s">
        <v>480</v>
      </c>
      <c r="C76" t="s">
        <v>476</v>
      </c>
      <c r="E76" t="s">
        <v>476</v>
      </c>
      <c r="G76">
        <v>0</v>
      </c>
    </row>
    <row r="77" spans="1:7">
      <c r="A77" t="s">
        <v>481</v>
      </c>
      <c r="C77" t="s">
        <v>476</v>
      </c>
      <c r="E77" t="s">
        <v>476</v>
      </c>
      <c r="G77">
        <v>0</v>
      </c>
    </row>
    <row r="78" spans="1:7">
      <c r="A78" t="s">
        <v>482</v>
      </c>
      <c r="C78" t="s">
        <v>483</v>
      </c>
      <c r="E78" t="s">
        <v>484</v>
      </c>
      <c r="G78">
        <v>0</v>
      </c>
    </row>
    <row r="79" spans="1:7">
      <c r="A79" t="s">
        <v>485</v>
      </c>
      <c r="C79" t="s">
        <v>486</v>
      </c>
      <c r="E79" t="s">
        <v>486</v>
      </c>
      <c r="G79">
        <v>0</v>
      </c>
    </row>
    <row r="80" spans="1:7">
      <c r="A80" t="s">
        <v>487</v>
      </c>
      <c r="C80" t="s">
        <v>488</v>
      </c>
      <c r="E80" t="s">
        <v>489</v>
      </c>
      <c r="G80">
        <v>0</v>
      </c>
    </row>
    <row r="81" spans="1:7">
      <c r="A81" t="s">
        <v>490</v>
      </c>
      <c r="C81" t="s">
        <v>491</v>
      </c>
      <c r="E81" t="s">
        <v>491</v>
      </c>
      <c r="G81">
        <v>0</v>
      </c>
    </row>
    <row r="82" spans="1:7">
      <c r="A82" t="s">
        <v>492</v>
      </c>
      <c r="C82" t="s">
        <v>493</v>
      </c>
      <c r="E82" t="s">
        <v>493</v>
      </c>
      <c r="G82">
        <v>0</v>
      </c>
    </row>
    <row r="83" spans="1:7">
      <c r="A83" t="s">
        <v>494</v>
      </c>
      <c r="C83" t="s">
        <v>495</v>
      </c>
      <c r="E83" t="s">
        <v>495</v>
      </c>
      <c r="G83">
        <v>0</v>
      </c>
    </row>
    <row r="84" spans="1:7">
      <c r="A84" t="s">
        <v>496</v>
      </c>
      <c r="C84" t="s">
        <v>497</v>
      </c>
      <c r="E84" t="s">
        <v>497</v>
      </c>
      <c r="G84">
        <v>0</v>
      </c>
    </row>
    <row r="85" spans="1:7">
      <c r="A85" t="s">
        <v>498</v>
      </c>
      <c r="C85" t="s">
        <v>497</v>
      </c>
      <c r="E85" t="s">
        <v>497</v>
      </c>
      <c r="G85">
        <v>0</v>
      </c>
    </row>
    <row r="86" spans="1:7">
      <c r="A86" t="s">
        <v>499</v>
      </c>
      <c r="C86" t="s">
        <v>35</v>
      </c>
      <c r="E86" t="s">
        <v>35</v>
      </c>
      <c r="G86">
        <v>0</v>
      </c>
    </row>
    <row r="87" spans="1:7">
      <c r="A87" t="s">
        <v>500</v>
      </c>
      <c r="C87" t="s">
        <v>384</v>
      </c>
      <c r="E87" t="s">
        <v>385</v>
      </c>
      <c r="G87">
        <v>0</v>
      </c>
    </row>
    <row r="88" spans="1:7">
      <c r="A88" t="s">
        <v>501</v>
      </c>
      <c r="C88" t="s">
        <v>35</v>
      </c>
      <c r="E88" t="s">
        <v>35</v>
      </c>
      <c r="G88">
        <v>0</v>
      </c>
    </row>
    <row r="89" spans="1:7">
      <c r="A89" t="s">
        <v>502</v>
      </c>
      <c r="C89" t="s">
        <v>35</v>
      </c>
      <c r="E89" t="s">
        <v>35</v>
      </c>
      <c r="G89">
        <v>0</v>
      </c>
    </row>
    <row r="90" spans="1:7">
      <c r="A90" t="s">
        <v>503</v>
      </c>
      <c r="C90" t="s">
        <v>385</v>
      </c>
      <c r="E90" t="s">
        <v>384</v>
      </c>
      <c r="G90">
        <v>0</v>
      </c>
    </row>
    <row r="91" spans="1:7">
      <c r="A91" t="s">
        <v>504</v>
      </c>
      <c r="C91" t="s">
        <v>35</v>
      </c>
      <c r="E91" t="s">
        <v>35</v>
      </c>
      <c r="G91">
        <v>0</v>
      </c>
    </row>
    <row r="92" spans="1:7">
      <c r="A92" t="s">
        <v>505</v>
      </c>
      <c r="C92" t="s">
        <v>17</v>
      </c>
      <c r="E92" t="s">
        <v>17</v>
      </c>
      <c r="G92">
        <v>0</v>
      </c>
    </row>
    <row r="93" spans="1:7">
      <c r="A93" t="s">
        <v>506</v>
      </c>
      <c r="C93" t="s">
        <v>17</v>
      </c>
      <c r="E93" t="s">
        <v>17</v>
      </c>
      <c r="G93">
        <v>0</v>
      </c>
    </row>
    <row r="94" spans="1:7">
      <c r="A94" t="s">
        <v>507</v>
      </c>
      <c r="C94" t="s">
        <v>16</v>
      </c>
      <c r="E94" t="s">
        <v>16</v>
      </c>
      <c r="G94">
        <v>0</v>
      </c>
    </row>
    <row r="95" spans="1:7">
      <c r="A95" t="s">
        <v>508</v>
      </c>
      <c r="C95" t="s">
        <v>509</v>
      </c>
      <c r="E95" t="s">
        <v>509</v>
      </c>
      <c r="G95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Validado</vt:lpstr>
      <vt:lpstr>Não rodou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Giovanni Mioto</cp:lastModifiedBy>
  <dcterms:created xsi:type="dcterms:W3CDTF">2025-12-02T02:10:55Z</dcterms:created>
  <dcterms:modified xsi:type="dcterms:W3CDTF">2025-12-02T02:41:48Z</dcterms:modified>
</cp:coreProperties>
</file>